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The papers" sheetId="1" state="visible" r:id="rId1"/>
    <sheet xmlns:r="http://schemas.openxmlformats.org/officeDocument/2006/relationships" name="7ad ba3ed" sheetId="2" state="visible" r:id="rId2"/>
    <sheet xmlns:r="http://schemas.openxmlformats.org/officeDocument/2006/relationships" name="My ontology" sheetId="3" state="visible" r:id="rId3"/>
    <sheet xmlns:r="http://schemas.openxmlformats.org/officeDocument/2006/relationships" name="Tools" sheetId="4" state="visible" r:id="rId4"/>
    <sheet xmlns:r="http://schemas.openxmlformats.org/officeDocument/2006/relationships" name="The gap" sheetId="5" state="visible" r:id="rId5"/>
    <sheet xmlns:r="http://schemas.openxmlformats.org/officeDocument/2006/relationships" name="Reasoning + SHACL" sheetId="6" state="visible" r:id="rId6"/>
    <sheet xmlns:r="http://schemas.openxmlformats.org/officeDocument/2006/relationships" name="Abesova paper" sheetId="7" state="visible" r:id="rId7"/>
  </sheets>
  <definedNames>
    <definedName name="_xlnm._FilterDatabase" localSheetId="0" hidden="1">'The papers'!$A$4:$AC$36</definedName>
  </definedNames>
  <calcPr calcId="0" fullCalcOnLoad="1"/>
</workbook>
</file>

<file path=xl/styles.xml><?xml version="1.0" encoding="utf-8"?>
<styleSheet xmlns="http://schemas.openxmlformats.org/spreadsheetml/2006/main">
  <numFmts count="0"/>
  <fonts count="86">
    <font>
      <name val="Calibri"/>
      <family val="2"/>
      <color theme="1"/>
      <sz val="11"/>
      <scheme val="minor"/>
    </font>
    <font>
      <name val="Calibri"/>
      <b val="1"/>
      <color rgb="FFFFFFFF"/>
      <sz val="17"/>
    </font>
    <font>
      <name val="Calibri"/>
      <i val="1"/>
      <color rgb="FF8A8175"/>
      <sz val="10.5"/>
    </font>
    <font>
      <name val="Calibri"/>
      <b val="1"/>
      <color rgb="FF2E2A25"/>
      <sz val="9.5"/>
    </font>
    <font>
      <name val="Calibri"/>
      <b val="1"/>
      <color rgb="FF7A5200"/>
      <sz val="9.5"/>
    </font>
    <font>
      <name val="Calibri"/>
      <b val="1"/>
      <color rgb="FFFFFFFF"/>
      <sz val="10.5"/>
    </font>
    <font>
      <name val="Calibri"/>
      <b val="1"/>
      <color rgb="FF4A3200"/>
      <sz val="10.5"/>
    </font>
    <font>
      <name val="Calibri"/>
      <b val="1"/>
      <color rgb="FFFFFFFF"/>
      <sz val="11.5"/>
    </font>
    <font>
      <name val="Calibri"/>
      <color rgb="FF3A3630"/>
      <sz val="10"/>
    </font>
    <font>
      <name val="Calibri"/>
      <b val="1"/>
      <color rgb="FFFFFFFF"/>
      <sz val="12"/>
    </font>
    <font>
      <name val="Calibri"/>
      <b val="1"/>
      <color rgb="FF1F6F6B"/>
      <sz val="11.5"/>
    </font>
    <font>
      <name val="Calibri"/>
      <b val="1"/>
      <color rgb="FF2E2A25"/>
      <sz val="10.5"/>
    </font>
    <font>
      <name val="Calibri"/>
      <color rgb="FF8A8175"/>
      <sz val="10"/>
    </font>
    <font>
      <name val="Calibri"/>
      <color rgb="FF2166A5"/>
      <sz val="9"/>
      <u val="single"/>
    </font>
    <font>
      <name val="Calibri"/>
      <color rgb="FF3A3226"/>
      <sz val="10"/>
    </font>
    <font>
      <name val="Calibri"/>
      <b val="1"/>
      <color rgb="FF1F6F6B"/>
      <sz val="10"/>
    </font>
    <font>
      <name val="Calibri"/>
      <b val="1"/>
      <color rgb="FFA83A1E"/>
      <sz val="10"/>
    </font>
    <font>
      <name val="Calibri"/>
      <b val="1"/>
      <color rgb="FF6B4E9B"/>
      <sz val="11.5"/>
    </font>
    <font>
      <name val="Calibri"/>
      <b val="1"/>
      <color rgb="FF8C4A62"/>
      <sz val="11.5"/>
    </font>
    <font>
      <name val="Calibri"/>
      <b val="1"/>
      <color rgb="FFA6612F"/>
      <sz val="11.5"/>
    </font>
    <font>
      <name val="Calibri"/>
      <color rgb="FF2E2A25"/>
      <sz val="10.5"/>
    </font>
    <font>
      <name val="Calibri"/>
      <b val="1"/>
      <color rgb="FF7A5200"/>
      <sz val="10.5"/>
    </font>
    <font>
      <name val="Calibri"/>
      <b val="1"/>
      <color rgb="FF1F6F6B"/>
      <sz val="10.5"/>
    </font>
    <font>
      <name val="Calibri"/>
      <b val="1"/>
      <color rgb="FFFFFFFF"/>
      <sz val="12.5"/>
    </font>
    <font>
      <name val="Calibri"/>
      <b val="1"/>
      <color rgb="FF8A8175"/>
      <sz val="18"/>
    </font>
    <font>
      <name val="Calibri"/>
      <b val="1"/>
      <color rgb="FFFFFFFF"/>
      <sz val="11"/>
    </font>
    <font>
      <name val="Calibri"/>
      <color rgb="FF2E2A25"/>
      <sz val="10"/>
    </font>
    <font>
      <name val="Calibri"/>
      <b val="1"/>
      <color rgb="FFA6612F"/>
      <sz val="10.5"/>
    </font>
    <font>
      <name val="Calibri"/>
      <b val="1"/>
      <color rgb="FF8A8175"/>
      <sz val="10.5"/>
    </font>
    <font>
      <name val="Calibri"/>
      <b val="1"/>
      <color rgb="FFA83A1E"/>
      <sz val="10.5"/>
    </font>
    <font>
      <name val="Calibri"/>
      <b val="1"/>
      <color rgb="FF6B4E9B"/>
      <sz val="10.5"/>
    </font>
    <font>
      <name val="Calibri"/>
      <family val="2"/>
      <b val="1"/>
      <color rgb="FFFF0000"/>
      <sz val="10.5"/>
    </font>
    <font>
      <name val="Calibri"/>
      <family val="2"/>
      <color rgb="FF2166A5"/>
      <sz val="9"/>
      <u val="single"/>
    </font>
    <font>
      <name val="Calibri"/>
      <b val="1"/>
      <color rgb="00FFFFFF"/>
      <sz val="17"/>
    </font>
    <font>
      <name val="Calibri"/>
      <i val="1"/>
      <color rgb="008A8175"/>
      <sz val="10.5"/>
    </font>
    <font>
      <name val="Calibri"/>
      <b val="1"/>
      <color rgb="00FFFFFF"/>
      <sz val="10.5"/>
    </font>
    <font>
      <name val="Calibri"/>
      <b val="1"/>
      <color rgb="004A3200"/>
      <sz val="10.5"/>
    </font>
    <font>
      <name val="Calibri"/>
      <b val="1"/>
      <color rgb="00FFFFFF"/>
      <sz val="11.5"/>
    </font>
    <font>
      <name val="Calibri"/>
      <b val="1"/>
      <color rgb="00FFFFFF"/>
      <sz val="11"/>
    </font>
    <font>
      <name val="Calibri"/>
      <b val="1"/>
      <color rgb="001F6F6B"/>
      <sz val="11"/>
    </font>
    <font>
      <name val="Calibri"/>
      <color rgb="003A3630"/>
      <sz val="10"/>
    </font>
    <font>
      <name val="Calibri"/>
      <color rgb="00A83A1E"/>
      <sz val="10"/>
    </font>
    <font>
      <name val="Calibri"/>
      <b val="1"/>
      <color rgb="003A3226"/>
      <sz val="10"/>
    </font>
    <font>
      <name val="Calibri"/>
      <i val="1"/>
      <color rgb="008A8175"/>
      <sz val="9.5"/>
    </font>
    <font>
      <name val="Calibri"/>
      <b val="1"/>
      <color rgb="006B4E9B"/>
      <sz val="11"/>
    </font>
    <font>
      <name val="Calibri"/>
      <b val="1"/>
      <color rgb="008C4A62"/>
      <sz val="11"/>
    </font>
    <font>
      <name val="Calibri"/>
      <b val="1"/>
      <color rgb="00A6612F"/>
      <sz val="11"/>
    </font>
    <font>
      <name val="Calibri"/>
      <b val="1"/>
      <color rgb="004A3200"/>
      <sz val="11.5"/>
    </font>
    <font>
      <name val="Calibri"/>
      <color rgb="003A3226"/>
      <sz val="10"/>
    </font>
    <font>
      <name val="Calibri"/>
      <color rgb="008A8175"/>
      <sz val="9.5"/>
    </font>
    <font>
      <name val="Calibri"/>
      <b val="1"/>
      <color rgb="001F6F6B"/>
      <sz val="10.5"/>
    </font>
    <font>
      <name val="Calibri"/>
      <color rgb="008A8175"/>
      <sz val="10.5"/>
    </font>
    <font>
      <name val="Calibri"/>
      <b val="1"/>
      <color rgb="00A83A1E"/>
      <sz val="9.5"/>
    </font>
    <font>
      <name val="Calibri"/>
      <b val="1"/>
      <color rgb="004A3200"/>
      <sz val="11"/>
    </font>
    <font>
      <name val="Consolas"/>
      <color rgb="002E2A25"/>
      <sz val="9.5"/>
    </font>
    <font>
      <name val="Calibri"/>
      <b val="1"/>
      <color rgb="001F6F6B"/>
      <sz val="10"/>
    </font>
    <font>
      <name val="Calibri"/>
      <b val="1"/>
      <color rgb="001F6F6B"/>
      <sz val="9.5"/>
    </font>
    <font>
      <name val="Calibri"/>
      <b val="1"/>
      <color rgb="008A8175"/>
      <sz val="12"/>
    </font>
    <font>
      <name val="Calibri"/>
      <b val="1"/>
      <color rgb="006B4E9B"/>
      <sz val="9.5"/>
    </font>
    <font>
      <name val="Calibri"/>
      <b val="1"/>
      <color rgb="008C4A62"/>
      <sz val="9.5"/>
    </font>
    <font>
      <name val="Calibri"/>
      <b val="1"/>
      <color rgb="00A6612F"/>
      <sz val="9.5"/>
    </font>
    <font>
      <name val="Calibri"/>
      <b val="1"/>
      <color rgb="008A5A00"/>
      <sz val="9.5"/>
    </font>
    <font>
      <name val="Calibri"/>
      <color rgb="003A3630"/>
      <sz val="9"/>
    </font>
    <font>
      <name val="Calibri"/>
      <b val="1"/>
      <color rgb="008A8175"/>
      <sz val="10"/>
    </font>
    <font>
      <name val="Calibri"/>
      <b val="1"/>
      <color rgb="00A83A1E"/>
      <sz val="10"/>
    </font>
    <font>
      <name val="Consolas"/>
      <color rgb="003A3226"/>
      <sz val="10"/>
    </font>
    <font>
      <name val="Consolas"/>
      <color rgb="003A3630"/>
      <sz val="10"/>
    </font>
    <font>
      <name val="Consolas"/>
      <b val="1"/>
      <color rgb="00E8A33D"/>
      <sz val="10"/>
    </font>
    <font>
      <name val="Calibri"/>
      <b val="1"/>
      <color rgb="00E8A33D"/>
      <sz val="9.5"/>
    </font>
    <font>
      <name val="Consolas"/>
      <color rgb="003A3226"/>
      <sz val="9.5"/>
    </font>
    <font>
      <name val="Consolas"/>
      <color rgb="00A83A1E"/>
      <sz val="10"/>
    </font>
    <font>
      <name val="Consolas"/>
      <b val="1"/>
      <color rgb="004A3200"/>
      <sz val="10.5"/>
    </font>
    <font>
      <name val="Calibri"/>
      <b val="1"/>
      <color rgb="002E2A25"/>
      <sz val="10.5"/>
    </font>
    <font>
      <name val="Calibri"/>
      <color rgb="002166A5"/>
      <sz val="9"/>
      <u val="single"/>
    </font>
    <font>
      <name val="Calibri"/>
      <color rgb="008A8175"/>
      <sz val="10"/>
    </font>
    <font>
      <name val="Calibri"/>
      <b val="1"/>
      <color rgb="00000000"/>
      <sz val="13"/>
    </font>
    <font>
      <name val="Calibri"/>
      <color rgb="00666666"/>
      <sz val="10"/>
    </font>
    <font>
      <name val="Calibri"/>
      <b val="1"/>
      <color rgb="00000000"/>
      <sz val="10"/>
    </font>
    <font>
      <name val="Calibri"/>
      <b val="1"/>
      <color rgb="00000000"/>
      <sz val="11"/>
    </font>
    <font>
      <name val="Calibri"/>
      <color rgb="00000000"/>
      <sz val="10"/>
    </font>
    <font>
      <name val="Calibri"/>
      <color rgb="00000000"/>
      <sz val="10.5"/>
    </font>
    <font>
      <name val="Calibri"/>
      <b val="1"/>
      <color rgb="00000000"/>
      <sz val="10.5"/>
    </font>
    <font>
      <name val="Consolas"/>
      <color rgb="00000000"/>
      <sz val="9.5"/>
    </font>
    <font>
      <name val="Consolas"/>
      <color rgb="00000000"/>
      <sz val="10"/>
    </font>
    <font>
      <name val="Consolas"/>
      <b val="1"/>
      <color rgb="00000000"/>
      <sz val="10"/>
    </font>
    <font>
      <name val="Calibri"/>
      <color rgb="00666666"/>
      <sz val="9.5"/>
    </font>
  </fonts>
  <fills count="39">
    <fill>
      <patternFill/>
    </fill>
    <fill>
      <patternFill patternType="gray125"/>
    </fill>
    <fill>
      <patternFill patternType="solid">
        <fgColor rgb="FF2E2A25"/>
      </patternFill>
    </fill>
    <fill>
      <patternFill patternType="solid">
        <fgColor rgb="FFEFEAE1"/>
      </patternFill>
    </fill>
    <fill>
      <patternFill patternType="solid">
        <fgColor rgb="FFEAEFF2"/>
      </patternFill>
    </fill>
    <fill>
      <patternFill patternType="solid">
        <fgColor rgb="FFFFF6E0"/>
      </patternFill>
    </fill>
    <fill>
      <patternFill patternType="solid">
        <fgColor rgb="FFE8A33D"/>
      </patternFill>
    </fill>
    <fill>
      <patternFill patternType="solid">
        <fgColor rgb="FF1F6F6B"/>
      </patternFill>
    </fill>
    <fill>
      <patternFill patternType="solid">
        <fgColor rgb="FFFFFFFF"/>
      </patternFill>
    </fill>
    <fill>
      <patternFill patternType="solid">
        <fgColor rgb="FFEEF5F4"/>
      </patternFill>
    </fill>
    <fill>
      <patternFill patternType="solid">
        <fgColor rgb="FFFBFAF7"/>
      </patternFill>
    </fill>
    <fill>
      <patternFill patternType="solid">
        <fgColor rgb="FFEDF5F3"/>
      </patternFill>
    </fill>
    <fill>
      <patternFill patternType="solid">
        <fgColor rgb="FFFCEEE6"/>
      </patternFill>
    </fill>
    <fill>
      <patternFill patternType="solid">
        <fgColor rgb="FF6B4E9B"/>
      </patternFill>
    </fill>
    <fill>
      <patternFill patternType="solid">
        <fgColor rgb="FFF2EEF8"/>
      </patternFill>
    </fill>
    <fill>
      <patternFill patternType="solid">
        <fgColor rgb="FF8C4A62"/>
      </patternFill>
    </fill>
    <fill>
      <patternFill patternType="solid">
        <fgColor rgb="FFFAF2F5"/>
      </patternFill>
    </fill>
    <fill>
      <patternFill patternType="solid">
        <fgColor rgb="FFA6612F"/>
      </patternFill>
    </fill>
    <fill>
      <patternFill patternType="solid">
        <fgColor rgb="FFFBF4EC"/>
      </patternFill>
    </fill>
    <fill>
      <patternFill patternType="solid">
        <fgColor rgb="FFF4F1EB"/>
      </patternFill>
    </fill>
    <fill>
      <patternFill patternType="solid">
        <fgColor rgb="FFFFFF00"/>
        <bgColor indexed="64"/>
      </patternFill>
    </fill>
    <fill>
      <patternFill patternType="solid">
        <fgColor rgb="002E2A25"/>
      </patternFill>
    </fill>
    <fill>
      <patternFill patternType="solid">
        <fgColor rgb="00E8A33D"/>
      </patternFill>
    </fill>
    <fill>
      <patternFill patternType="solid">
        <fgColor rgb="001F6F6B"/>
      </patternFill>
    </fill>
    <fill>
      <patternFill patternType="solid">
        <fgColor rgb="00EEF5F4"/>
      </patternFill>
    </fill>
    <fill>
      <patternFill patternType="solid">
        <fgColor rgb="00FBFAF7"/>
      </patternFill>
    </fill>
    <fill>
      <patternFill patternType="solid">
        <fgColor rgb="00FCEEE6"/>
      </patternFill>
    </fill>
    <fill>
      <patternFill patternType="solid">
        <fgColor rgb="00FFF6E0"/>
      </patternFill>
    </fill>
    <fill>
      <patternFill patternType="solid">
        <fgColor rgb="00FFFFFF"/>
      </patternFill>
    </fill>
    <fill>
      <patternFill patternType="solid">
        <fgColor rgb="006B4E9B"/>
      </patternFill>
    </fill>
    <fill>
      <patternFill patternType="solid">
        <fgColor rgb="00F2EEF8"/>
      </patternFill>
    </fill>
    <fill>
      <patternFill patternType="solid">
        <fgColor rgb="008C4A62"/>
      </patternFill>
    </fill>
    <fill>
      <patternFill patternType="solid">
        <fgColor rgb="00FAF2F5"/>
      </patternFill>
    </fill>
    <fill>
      <patternFill patternType="solid">
        <fgColor rgb="00A6612F"/>
      </patternFill>
    </fill>
    <fill>
      <patternFill patternType="solid">
        <fgColor rgb="00FBF4EC"/>
      </patternFill>
    </fill>
    <fill>
      <patternFill patternType="solid">
        <fgColor rgb="00EDF5F3"/>
      </patternFill>
    </fill>
    <fill>
      <patternFill patternType="solid">
        <fgColor rgb="00F4F2ED"/>
      </patternFill>
    </fill>
    <fill>
      <patternFill patternType="solid">
        <fgColor rgb="00A83A1E"/>
      </patternFill>
    </fill>
    <fill>
      <patternFill patternType="solid">
        <fgColor rgb="00EDEDED"/>
      </patternFill>
    </fill>
  </fills>
  <borders count="22">
    <border>
      <left/>
      <right/>
      <top/>
      <bottom/>
      <diagonal/>
    </border>
    <border>
      <left/>
      <right/>
      <top/>
      <bottom style="thin">
        <color rgb="FFE8E2D8"/>
      </bottom>
      <diagonal/>
    </border>
    <border>
      <left style="medium">
        <color rgb="FF2E2A25"/>
      </left>
      <right style="medium">
        <color rgb="FF2E2A25"/>
      </right>
      <top style="medium">
        <color rgb="FF2E2A25"/>
      </top>
      <bottom style="medium">
        <color rgb="FF2E2A25"/>
      </bottom>
      <diagonal/>
    </border>
    <border>
      <left style="thin">
        <color rgb="FF1F6F6B"/>
      </left>
      <right style="thin">
        <color rgb="FF1F6F6B"/>
      </right>
      <top/>
      <bottom/>
      <diagonal/>
    </border>
    <border>
      <left style="thin">
        <color rgb="FF6B4E9B"/>
      </left>
      <right style="thin">
        <color rgb="FF6B4E9B"/>
      </right>
      <top/>
      <bottom/>
      <diagonal/>
    </border>
    <border>
      <left style="thin">
        <color rgb="FF8C4A62"/>
      </left>
      <right style="thin">
        <color rgb="FF8C4A62"/>
      </right>
      <top/>
      <bottom/>
      <diagonal/>
    </border>
    <border>
      <left style="thin">
        <color rgb="FFA6612F"/>
      </left>
      <right style="thin">
        <color rgb="FFA6612F"/>
      </right>
      <top/>
      <bottom/>
      <diagonal/>
    </border>
    <border>
      <left/>
      <right style="thin">
        <color rgb="FFA6612F"/>
      </right>
      <top/>
      <bottom/>
      <diagonal/>
    </border>
    <border>
      <left/>
      <right style="thin">
        <color rgb="FF6B4E9B"/>
      </right>
      <top/>
      <bottom/>
      <diagonal/>
    </border>
    <border>
      <left/>
      <right style="thin">
        <color rgb="FF8C4A62"/>
      </right>
      <top/>
      <bottom/>
      <diagonal/>
    </border>
    <border>
      <left/>
      <right style="thin">
        <color rgb="FF1F6F6B"/>
      </right>
      <top/>
      <bottom/>
      <diagonal/>
    </border>
    <border>
      <left/>
      <right/>
      <top style="medium">
        <color rgb="FF2E2A25"/>
      </top>
      <bottom/>
      <diagonal/>
    </border>
    <border>
      <left/>
      <right style="medium">
        <color rgb="FF2E2A25"/>
      </right>
      <top style="medium">
        <color rgb="FF2E2A25"/>
      </top>
      <bottom/>
      <diagonal/>
    </border>
    <border>
      <left/>
      <right style="medium">
        <color rgb="FF2E2A25"/>
      </right>
      <top style="medium">
        <color rgb="FF2E2A25"/>
      </top>
      <bottom style="medium">
        <color rgb="FF2E2A25"/>
      </bottom>
      <diagonal/>
    </border>
    <border>
      <bottom style="thin">
        <color rgb="00E8E2D8"/>
      </bottom>
    </border>
    <border>
      <left style="thin">
        <color rgb="001F6F6B"/>
      </left>
      <right style="thin">
        <color rgb="001F6F6B"/>
      </right>
      <top style="thin">
        <color rgb="001F6F6B"/>
      </top>
      <bottom style="thin">
        <color rgb="001F6F6B"/>
      </bottom>
    </border>
    <border>
      <left style="thin">
        <color rgb="006B4E9B"/>
      </left>
      <right style="thin">
        <color rgb="006B4E9B"/>
      </right>
      <top style="thin">
        <color rgb="006B4E9B"/>
      </top>
      <bottom style="thin">
        <color rgb="006B4E9B"/>
      </bottom>
    </border>
    <border>
      <left style="thin">
        <color rgb="008C4A62"/>
      </left>
      <right style="thin">
        <color rgb="008C4A62"/>
      </right>
      <top style="thin">
        <color rgb="008C4A62"/>
      </top>
      <bottom style="thin">
        <color rgb="008C4A62"/>
      </bottom>
    </border>
    <border>
      <left style="thin">
        <color rgb="00A6612F"/>
      </left>
      <right style="thin">
        <color rgb="00A6612F"/>
      </right>
      <top style="thin">
        <color rgb="00A6612F"/>
      </top>
      <bottom style="thin">
        <color rgb="00A6612F"/>
      </bottom>
    </border>
    <border>
      <left style="thin">
        <color rgb="008A5A00"/>
      </left>
      <right style="thin">
        <color rgb="008A5A00"/>
      </right>
      <top style="thin">
        <color rgb="008A5A00"/>
      </top>
      <bottom style="thin">
        <color rgb="008A5A00"/>
      </bottom>
    </border>
    <border>
      <bottom style="thin">
        <color rgb="00D9D9D9"/>
      </bottom>
    </border>
    <border>
      <top style="thin">
        <color rgb="009E9E9E"/>
      </top>
    </border>
  </borders>
  <cellStyleXfs count="1">
    <xf numFmtId="0" fontId="0" fillId="0" borderId="0"/>
  </cellStyleXfs>
  <cellXfs count="196">
    <xf numFmtId="0" fontId="0" fillId="0" borderId="0" pivotButton="0" quotePrefix="0" xfId="0"/>
    <xf numFmtId="0" fontId="5" fillId="2" borderId="0" applyAlignment="1" pivotButton="0" quotePrefix="0" xfId="0">
      <alignment vertical="center" wrapText="1" indent="1"/>
    </xf>
    <xf numFmtId="0" fontId="6" fillId="6" borderId="0" applyAlignment="1" pivotButton="0" quotePrefix="0" xfId="0">
      <alignment vertical="center" wrapText="1" indent="1"/>
    </xf>
    <xf numFmtId="0" fontId="8" fillId="8" borderId="1" applyAlignment="1" pivotButton="0" quotePrefix="0" xfId="0">
      <alignment vertical="top" wrapText="1" indent="1"/>
    </xf>
    <xf numFmtId="0" fontId="9" fillId="7" borderId="1" applyAlignment="1" pivotButton="0" quotePrefix="0" xfId="0">
      <alignment horizontal="center" vertical="center"/>
    </xf>
    <xf numFmtId="0" fontId="10" fillId="9" borderId="1" applyAlignment="1" pivotButton="0" quotePrefix="0" xfId="0">
      <alignment vertical="center" wrapText="1" indent="1"/>
    </xf>
    <xf numFmtId="0" fontId="11" fillId="8" borderId="1" applyAlignment="1" pivotButton="0" quotePrefix="0" xfId="0">
      <alignment vertical="top" wrapText="1" indent="1"/>
    </xf>
    <xf numFmtId="0" fontId="12" fillId="8" borderId="1" applyAlignment="1" pivotButton="0" quotePrefix="0" xfId="0">
      <alignment vertical="top" wrapText="1" indent="1"/>
    </xf>
    <xf numFmtId="0" fontId="13" fillId="8" borderId="1" applyAlignment="1" pivotButton="0" quotePrefix="0" xfId="0">
      <alignment vertical="top" wrapText="1" indent="1"/>
    </xf>
    <xf numFmtId="0" fontId="14" fillId="5" borderId="1" applyAlignment="1" pivotButton="0" quotePrefix="0" xfId="0">
      <alignment vertical="top" wrapText="1" indent="1"/>
    </xf>
    <xf numFmtId="0" fontId="8" fillId="10" borderId="1" applyAlignment="1" pivotButton="0" quotePrefix="0" xfId="0">
      <alignment vertical="top" wrapText="1" indent="1"/>
    </xf>
    <xf numFmtId="0" fontId="11" fillId="10" borderId="1" applyAlignment="1" pivotButton="0" quotePrefix="0" xfId="0">
      <alignment vertical="top" wrapText="1" indent="1"/>
    </xf>
    <xf numFmtId="0" fontId="12" fillId="10" borderId="1" applyAlignment="1" pivotButton="0" quotePrefix="0" xfId="0">
      <alignment vertical="top" wrapText="1" indent="1"/>
    </xf>
    <xf numFmtId="0" fontId="13" fillId="10" borderId="1" applyAlignment="1" pivotButton="0" quotePrefix="0" xfId="0">
      <alignment vertical="top" wrapText="1" indent="1"/>
    </xf>
    <xf numFmtId="0" fontId="15" fillId="11" borderId="1" applyAlignment="1" pivotButton="0" quotePrefix="0" xfId="0">
      <alignment vertical="top" wrapText="1" indent="1"/>
    </xf>
    <xf numFmtId="0" fontId="16" fillId="12" borderId="1" applyAlignment="1" pivotButton="0" quotePrefix="0" xfId="0">
      <alignment vertical="top" wrapText="1" indent="1"/>
    </xf>
    <xf numFmtId="0" fontId="9" fillId="13" borderId="1" applyAlignment="1" pivotButton="0" quotePrefix="0" xfId="0">
      <alignment horizontal="center" vertical="center"/>
    </xf>
    <xf numFmtId="0" fontId="17" fillId="14" borderId="1" applyAlignment="1" pivotButton="0" quotePrefix="0" xfId="0">
      <alignment vertical="center" wrapText="1" indent="1"/>
    </xf>
    <xf numFmtId="0" fontId="9" fillId="15" borderId="1" applyAlignment="1" pivotButton="0" quotePrefix="0" xfId="0">
      <alignment horizontal="center" vertical="center"/>
    </xf>
    <xf numFmtId="0" fontId="18" fillId="16" borderId="1" applyAlignment="1" pivotButton="0" quotePrefix="0" xfId="0">
      <alignment vertical="center" wrapText="1" indent="1"/>
    </xf>
    <xf numFmtId="0" fontId="9" fillId="17" borderId="1" applyAlignment="1" pivotButton="0" quotePrefix="0" xfId="0">
      <alignment horizontal="center" vertical="center"/>
    </xf>
    <xf numFmtId="0" fontId="19" fillId="18" borderId="1" applyAlignment="1" pivotButton="0" quotePrefix="0" xfId="0">
      <alignment vertical="center" wrapText="1" indent="1"/>
    </xf>
    <xf numFmtId="0" fontId="5" fillId="2" borderId="0" applyAlignment="1" pivotButton="0" quotePrefix="0" xfId="0">
      <alignment horizontal="left" vertical="center" wrapText="1" indent="1"/>
    </xf>
    <xf numFmtId="0" fontId="5" fillId="2" borderId="0" applyAlignment="1" pivotButton="0" quotePrefix="0" xfId="0">
      <alignment horizontal="center" vertical="center" wrapText="1" indent="1"/>
    </xf>
    <xf numFmtId="0" fontId="6" fillId="6" borderId="0" applyAlignment="1" pivotButton="0" quotePrefix="0" xfId="0">
      <alignment horizontal="center" vertical="center" wrapText="1" indent="1"/>
    </xf>
    <xf numFmtId="0" fontId="20" fillId="19" borderId="1" applyAlignment="1" pivotButton="0" quotePrefix="0" xfId="0">
      <alignment horizontal="left" vertical="center" wrapText="1" indent="1"/>
    </xf>
    <xf numFmtId="0" fontId="8" fillId="8" borderId="1" applyAlignment="1" pivotButton="0" quotePrefix="0" xfId="0">
      <alignment horizontal="center" vertical="center" wrapText="1" indent="1"/>
    </xf>
    <xf numFmtId="0" fontId="21" fillId="5" borderId="1" applyAlignment="1" pivotButton="0" quotePrefix="0" xfId="0">
      <alignment horizontal="left" vertical="center" wrapText="1" indent="1"/>
    </xf>
    <xf numFmtId="0" fontId="12" fillId="10" borderId="1" applyAlignment="1" pivotButton="0" quotePrefix="0" xfId="0">
      <alignment horizontal="center" vertical="center" wrapText="1" indent="1"/>
    </xf>
    <xf numFmtId="0" fontId="8" fillId="10" borderId="1" applyAlignment="1" pivotButton="0" quotePrefix="0" xfId="0">
      <alignment horizontal="center" vertical="center" wrapText="1" indent="1"/>
    </xf>
    <xf numFmtId="0" fontId="12" fillId="8" borderId="1" applyAlignment="1" pivotButton="0" quotePrefix="0" xfId="0">
      <alignment horizontal="center" vertical="center" wrapText="1" indent="1"/>
    </xf>
    <xf numFmtId="0" fontId="22" fillId="11" borderId="1" applyAlignment="1" pivotButton="0" quotePrefix="0" xfId="0">
      <alignment horizontal="left" vertical="center" wrapText="1" indent="1"/>
    </xf>
    <xf numFmtId="0" fontId="12" fillId="11" borderId="1" applyAlignment="1" pivotButton="0" quotePrefix="0" xfId="0">
      <alignment horizontal="center" vertical="center" wrapText="1" indent="1"/>
    </xf>
    <xf numFmtId="0" fontId="8" fillId="11" borderId="1" applyAlignment="1" pivotButton="0" quotePrefix="0" xfId="0">
      <alignment horizontal="center" vertical="center" wrapText="1" indent="1"/>
    </xf>
    <xf numFmtId="0" fontId="20" fillId="3" borderId="2" applyAlignment="1" pivotButton="0" quotePrefix="0" xfId="0">
      <alignment horizontal="center" vertical="center" wrapText="1"/>
    </xf>
    <xf numFmtId="0" fontId="24" fillId="0" borderId="0" applyAlignment="1" pivotButton="0" quotePrefix="0" xfId="0">
      <alignment horizontal="center" vertical="center"/>
    </xf>
    <xf numFmtId="0" fontId="20" fillId="4" borderId="2" applyAlignment="1" pivotButton="0" quotePrefix="0" xfId="0">
      <alignment horizontal="center" vertical="center" wrapText="1"/>
    </xf>
    <xf numFmtId="0" fontId="21" fillId="5" borderId="2" applyAlignment="1" pivotButton="0" quotePrefix="0" xfId="0">
      <alignment horizontal="center" vertical="center" wrapText="1"/>
    </xf>
    <xf numFmtId="0" fontId="11" fillId="14" borderId="2" applyAlignment="1" pivotButton="0" quotePrefix="0" xfId="0">
      <alignment horizontal="center" vertical="center" wrapText="1"/>
    </xf>
    <xf numFmtId="0" fontId="20" fillId="9" borderId="2" applyAlignment="1" pivotButton="0" quotePrefix="0" xfId="0">
      <alignment horizontal="center" vertical="center" wrapText="1"/>
    </xf>
    <xf numFmtId="0" fontId="20" fillId="16" borderId="2" applyAlignment="1" pivotButton="0" quotePrefix="0" xfId="0">
      <alignment horizontal="center" vertical="center" wrapText="1"/>
    </xf>
    <xf numFmtId="0" fontId="20" fillId="18" borderId="2" applyAlignment="1" pivotButton="0" quotePrefix="0" xfId="0">
      <alignment horizontal="center" vertical="center" wrapText="1"/>
    </xf>
    <xf numFmtId="0" fontId="11" fillId="19" borderId="1" applyAlignment="1" pivotButton="0" quotePrefix="0" xfId="0">
      <alignment vertical="top" wrapText="1" indent="1"/>
    </xf>
    <xf numFmtId="0" fontId="22" fillId="11" borderId="1" applyAlignment="1" pivotButton="0" quotePrefix="0" xfId="0">
      <alignment horizontal="center" vertical="top"/>
    </xf>
    <xf numFmtId="0" fontId="27" fillId="18" borderId="1" applyAlignment="1" pivotButton="0" quotePrefix="0" xfId="0">
      <alignment horizontal="center" vertical="top"/>
    </xf>
    <xf numFmtId="0" fontId="28" fillId="8" borderId="1" applyAlignment="1" pivotButton="0" quotePrefix="0" xfId="0">
      <alignment horizontal="center" vertical="top"/>
    </xf>
    <xf numFmtId="0" fontId="29" fillId="12" borderId="1" applyAlignment="1" pivotButton="0" quotePrefix="0" xfId="0">
      <alignment horizontal="center" vertical="top"/>
    </xf>
    <xf numFmtId="0" fontId="30" fillId="14" borderId="1" applyAlignment="1" pivotButton="0" quotePrefix="0" xfId="0">
      <alignment horizontal="center" vertical="top"/>
    </xf>
    <xf numFmtId="0" fontId="2" fillId="0" borderId="0" applyAlignment="1" pivotButton="0" quotePrefix="0" xfId="0">
      <alignment vertical="center"/>
    </xf>
    <xf numFmtId="0" fontId="0" fillId="0" borderId="0" pivotButton="0" quotePrefix="0" xfId="0"/>
    <xf numFmtId="0" fontId="3" fillId="4" borderId="0" applyAlignment="1" pivotButton="0" quotePrefix="0" xfId="0">
      <alignment horizontal="center" vertical="center"/>
    </xf>
    <xf numFmtId="0" fontId="3" fillId="3" borderId="0" applyAlignment="1" pivotButton="0" quotePrefix="0" xfId="0">
      <alignment horizontal="center" vertical="center"/>
    </xf>
    <xf numFmtId="0" fontId="4" fillId="5" borderId="0" applyAlignment="1" pivotButton="0" quotePrefix="0" xfId="0">
      <alignment horizontal="center" vertical="center"/>
    </xf>
    <xf numFmtId="0" fontId="7" fillId="13" borderId="0" applyAlignment="1" pivotButton="0" quotePrefix="0" xfId="0">
      <alignment vertical="center"/>
    </xf>
    <xf numFmtId="0" fontId="1" fillId="2" borderId="0" applyAlignment="1" pivotButton="0" quotePrefix="0" xfId="0">
      <alignment vertical="center"/>
    </xf>
    <xf numFmtId="0" fontId="7" fillId="15" borderId="0" applyAlignment="1" pivotButton="0" quotePrefix="0" xfId="0">
      <alignment vertical="center"/>
    </xf>
    <xf numFmtId="0" fontId="7" fillId="17" borderId="0" applyAlignment="1" pivotButton="0" quotePrefix="0" xfId="0">
      <alignment vertical="center"/>
    </xf>
    <xf numFmtId="0" fontId="7" fillId="7" borderId="0" applyAlignment="1" pivotButton="0" quotePrefix="0" xfId="0">
      <alignment vertical="center"/>
    </xf>
    <xf numFmtId="0" fontId="20" fillId="8" borderId="1" applyAlignment="1" pivotButton="0" quotePrefix="0" xfId="0">
      <alignment vertical="center" wrapText="1" indent="1"/>
    </xf>
    <xf numFmtId="0" fontId="26" fillId="16" borderId="5" applyAlignment="1" pivotButton="0" quotePrefix="0" xfId="0">
      <alignment vertical="top" wrapText="1" indent="1"/>
    </xf>
    <xf numFmtId="0" fontId="26" fillId="9" borderId="3" applyAlignment="1" pivotButton="0" quotePrefix="0" xfId="0">
      <alignment vertical="top" wrapText="1" indent="1"/>
    </xf>
    <xf numFmtId="0" fontId="25" fillId="13" borderId="2" applyAlignment="1" pivotButton="0" quotePrefix="0" xfId="0">
      <alignment horizontal="center" vertical="center" wrapText="1"/>
    </xf>
    <xf numFmtId="0" fontId="25" fillId="15" borderId="2" applyAlignment="1" pivotButton="0" quotePrefix="0" xfId="0">
      <alignment horizontal="center" vertical="center" wrapText="1"/>
    </xf>
    <xf numFmtId="0" fontId="23" fillId="2" borderId="0" applyAlignment="1" pivotButton="0" quotePrefix="0" xfId="0">
      <alignment vertical="center" indent="1"/>
    </xf>
    <xf numFmtId="0" fontId="25" fillId="17" borderId="2" applyAlignment="1" pivotButton="0" quotePrefix="0" xfId="0">
      <alignment horizontal="center" vertical="center" wrapText="1"/>
    </xf>
    <xf numFmtId="0" fontId="21" fillId="5" borderId="1" applyAlignment="1" pivotButton="0" quotePrefix="0" xfId="0">
      <alignment vertical="center" wrapText="1" indent="1"/>
    </xf>
    <xf numFmtId="0" fontId="2" fillId="0" borderId="0" applyAlignment="1" pivotButton="0" quotePrefix="0" xfId="0">
      <alignment vertical="center" wrapText="1" indent="1"/>
    </xf>
    <xf numFmtId="0" fontId="6" fillId="6" borderId="0" applyAlignment="1" pivotButton="0" quotePrefix="0" xfId="0">
      <alignment vertical="center" indent="1"/>
    </xf>
    <xf numFmtId="0" fontId="26" fillId="14" borderId="4" applyAlignment="1" pivotButton="0" quotePrefix="0" xfId="0">
      <alignment vertical="top" wrapText="1" indent="1"/>
    </xf>
    <xf numFmtId="0" fontId="26" fillId="18" borderId="6" applyAlignment="1" pivotButton="0" quotePrefix="0" xfId="0">
      <alignment vertical="top" wrapText="1" indent="1"/>
    </xf>
    <xf numFmtId="0" fontId="25" fillId="7" borderId="2" applyAlignment="1" pivotButton="0" quotePrefix="0" xfId="0">
      <alignment horizontal="center" vertical="center" wrapText="1"/>
    </xf>
    <xf numFmtId="0" fontId="25" fillId="15" borderId="0" applyAlignment="1" pivotButton="0" quotePrefix="0" xfId="0">
      <alignment vertical="center"/>
    </xf>
    <xf numFmtId="0" fontId="31" fillId="20" borderId="0" applyAlignment="1" pivotButton="0" quotePrefix="0" xfId="0">
      <alignment vertical="center" wrapText="1" indent="1"/>
    </xf>
    <xf numFmtId="0" fontId="32" fillId="8" borderId="1" applyAlignment="1" pivotButton="0" quotePrefix="0" xfId="0">
      <alignment vertical="top" wrapText="1" indent="1"/>
    </xf>
    <xf numFmtId="0" fontId="0" fillId="0" borderId="13" pivotButton="0" quotePrefix="0" xfId="0"/>
    <xf numFmtId="0" fontId="0" fillId="0" borderId="10" pivotButton="0" quotePrefix="0" xfId="0"/>
    <xf numFmtId="0" fontId="0" fillId="0" borderId="8" pivotButton="0" quotePrefix="0" xfId="0"/>
    <xf numFmtId="0" fontId="0" fillId="0" borderId="9" pivotButton="0" quotePrefix="0" xfId="0"/>
    <xf numFmtId="0" fontId="0" fillId="0" borderId="7" pivotButton="0" quotePrefix="0" xfId="0"/>
    <xf numFmtId="0" fontId="0" fillId="0" borderId="1" pivotButton="0" quotePrefix="0" xfId="0"/>
    <xf numFmtId="0" fontId="37" fillId="21" borderId="0" applyAlignment="1" pivotButton="0" quotePrefix="0" xfId="0">
      <alignment vertical="center"/>
    </xf>
    <xf numFmtId="0" fontId="72" fillId="28" borderId="14" applyAlignment="1" pivotButton="0" quotePrefix="0" xfId="0">
      <alignment vertical="top" wrapText="1" indent="1"/>
    </xf>
    <xf numFmtId="0" fontId="40" fillId="28" borderId="14" applyAlignment="1" pivotButton="0" quotePrefix="0" xfId="0">
      <alignment vertical="top" wrapText="1" indent="1"/>
    </xf>
    <xf numFmtId="0" fontId="73" fillId="28" borderId="14" applyAlignment="1" pivotButton="0" quotePrefix="0" xfId="0">
      <alignment vertical="top" wrapText="1" indent="1"/>
    </xf>
    <xf numFmtId="0" fontId="74" fillId="28" borderId="14" applyAlignment="1" pivotButton="0" quotePrefix="0" xfId="0">
      <alignment horizontal="center" vertical="center"/>
    </xf>
    <xf numFmtId="0" fontId="74" fillId="28" borderId="14" applyAlignment="1" pivotButton="0" quotePrefix="0" xfId="0">
      <alignment vertical="top" wrapText="1" indent="1"/>
    </xf>
    <xf numFmtId="0" fontId="72" fillId="25" borderId="14" applyAlignment="1" pivotButton="0" quotePrefix="0" xfId="0">
      <alignment vertical="top" wrapText="1" indent="1"/>
    </xf>
    <xf numFmtId="0" fontId="40" fillId="25" borderId="14" applyAlignment="1" pivotButton="0" quotePrefix="0" xfId="0">
      <alignment vertical="top" wrapText="1" indent="1"/>
    </xf>
    <xf numFmtId="0" fontId="73" fillId="25" borderId="14" applyAlignment="1" pivotButton="0" quotePrefix="0" xfId="0">
      <alignment vertical="top" wrapText="1" indent="1"/>
    </xf>
    <xf numFmtId="0" fontId="74" fillId="25" borderId="14" applyAlignment="1" pivotButton="0" quotePrefix="0" xfId="0">
      <alignment horizontal="center" vertical="center"/>
    </xf>
    <xf numFmtId="0" fontId="64" fillId="26" borderId="14" applyAlignment="1" pivotButton="0" quotePrefix="0" xfId="0">
      <alignment vertical="top" wrapText="1" indent="1"/>
    </xf>
    <xf numFmtId="0" fontId="74" fillId="25" borderId="14" applyAlignment="1" pivotButton="0" quotePrefix="0" xfId="0">
      <alignment vertical="top" wrapText="1" indent="1"/>
    </xf>
    <xf numFmtId="0" fontId="55" fillId="35" borderId="14" applyAlignment="1" pivotButton="0" quotePrefix="0" xfId="0">
      <alignment horizontal="center" vertical="center"/>
    </xf>
    <xf numFmtId="0" fontId="33" fillId="21" borderId="0" applyAlignment="1" pivotButton="0" quotePrefix="0" xfId="0">
      <alignment vertical="center"/>
    </xf>
    <xf numFmtId="0" fontId="34" fillId="0" borderId="0" applyAlignment="1" pivotButton="0" quotePrefix="0" xfId="0">
      <alignment vertical="center" wrapText="1"/>
    </xf>
    <xf numFmtId="0" fontId="35" fillId="21" borderId="0" applyAlignment="1" pivotButton="0" quotePrefix="0" xfId="0">
      <alignment vertical="center" wrapText="1" indent="1"/>
    </xf>
    <xf numFmtId="0" fontId="36" fillId="22" borderId="0" applyAlignment="1" pivotButton="0" quotePrefix="0" xfId="0">
      <alignment vertical="center" wrapText="1" indent="1"/>
    </xf>
    <xf numFmtId="0" fontId="37" fillId="23" borderId="0" applyAlignment="1" pivotButton="0" quotePrefix="0" xfId="0">
      <alignment vertical="center"/>
    </xf>
    <xf numFmtId="0" fontId="38" fillId="23" borderId="14" applyAlignment="1" pivotButton="0" quotePrefix="0" xfId="0">
      <alignment horizontal="center" vertical="center"/>
    </xf>
    <xf numFmtId="0" fontId="39" fillId="24" borderId="14" applyAlignment="1" pivotButton="0" quotePrefix="0" xfId="0">
      <alignment vertical="center" wrapText="1" indent="1"/>
    </xf>
    <xf numFmtId="0" fontId="41" fillId="26" borderId="14" applyAlignment="1" pivotButton="0" quotePrefix="0" xfId="0">
      <alignment vertical="top" wrapText="1" indent="1"/>
    </xf>
    <xf numFmtId="0" fontId="42" fillId="27" borderId="14" applyAlignment="1" pivotButton="0" quotePrefix="0" xfId="0">
      <alignment vertical="top" wrapText="1" indent="1"/>
    </xf>
    <xf numFmtId="0" fontId="43" fillId="25" borderId="14" applyAlignment="1" pivotButton="0" quotePrefix="0" xfId="0">
      <alignment vertical="top" wrapText="1" indent="1"/>
    </xf>
    <xf numFmtId="0" fontId="43" fillId="28" borderId="14" applyAlignment="1" pivotButton="0" quotePrefix="0" xfId="0">
      <alignment vertical="top" wrapText="1" indent="1"/>
    </xf>
    <xf numFmtId="0" fontId="37" fillId="29" borderId="0" applyAlignment="1" pivotButton="0" quotePrefix="0" xfId="0">
      <alignment vertical="center"/>
    </xf>
    <xf numFmtId="0" fontId="38" fillId="29" borderId="14" applyAlignment="1" pivotButton="0" quotePrefix="0" xfId="0">
      <alignment horizontal="center" vertical="center"/>
    </xf>
    <xf numFmtId="0" fontId="44" fillId="30" borderId="14" applyAlignment="1" pivotButton="0" quotePrefix="0" xfId="0">
      <alignment vertical="center" wrapText="1" indent="1"/>
    </xf>
    <xf numFmtId="0" fontId="37" fillId="31" borderId="0" applyAlignment="1" pivotButton="0" quotePrefix="0" xfId="0">
      <alignment vertical="center"/>
    </xf>
    <xf numFmtId="0" fontId="38" fillId="31" borderId="14" applyAlignment="1" pivotButton="0" quotePrefix="0" xfId="0">
      <alignment horizontal="center" vertical="center"/>
    </xf>
    <xf numFmtId="0" fontId="45" fillId="32" borderId="14" applyAlignment="1" pivotButton="0" quotePrefix="0" xfId="0">
      <alignment vertical="center" wrapText="1" indent="1"/>
    </xf>
    <xf numFmtId="0" fontId="37" fillId="33" borderId="0" applyAlignment="1" pivotButton="0" quotePrefix="0" xfId="0">
      <alignment vertical="center"/>
    </xf>
    <xf numFmtId="0" fontId="38" fillId="33" borderId="14" applyAlignment="1" pivotButton="0" quotePrefix="0" xfId="0">
      <alignment horizontal="center" vertical="center"/>
    </xf>
    <xf numFmtId="0" fontId="46" fillId="34" borderId="14" applyAlignment="1" pivotButton="0" quotePrefix="0" xfId="0">
      <alignment vertical="center" wrapText="1" indent="1"/>
    </xf>
    <xf numFmtId="0" fontId="47" fillId="27" borderId="0" applyAlignment="1" pivotButton="0" quotePrefix="0" xfId="0">
      <alignment vertical="center" wrapText="1" indent="1"/>
    </xf>
    <xf numFmtId="0" fontId="48" fillId="27" borderId="14" applyAlignment="1" pivotButton="0" quotePrefix="0" xfId="0">
      <alignment vertical="top" wrapText="1" indent="1"/>
    </xf>
    <xf numFmtId="0" fontId="49" fillId="25" borderId="14" applyAlignment="1" pivotButton="0" quotePrefix="0" xfId="0">
      <alignment vertical="top" wrapText="1" indent="1"/>
    </xf>
    <xf numFmtId="0" fontId="50" fillId="35" borderId="14" applyAlignment="1" pivotButton="0" quotePrefix="0" xfId="0">
      <alignment horizontal="center" vertical="center"/>
    </xf>
    <xf numFmtId="0" fontId="49" fillId="28" borderId="14" applyAlignment="1" pivotButton="0" quotePrefix="0" xfId="0">
      <alignment vertical="top" wrapText="1" indent="1"/>
    </xf>
    <xf numFmtId="0" fontId="51" fillId="25" borderId="14" applyAlignment="1" pivotButton="0" quotePrefix="0" xfId="0">
      <alignment horizontal="center" vertical="center"/>
    </xf>
    <xf numFmtId="0" fontId="52" fillId="26" borderId="14" applyAlignment="1" pivotButton="0" quotePrefix="0" xfId="0">
      <alignment vertical="top" wrapText="1" indent="1"/>
    </xf>
    <xf numFmtId="0" fontId="51" fillId="28" borderId="14" applyAlignment="1" pivotButton="0" quotePrefix="0" xfId="0">
      <alignment horizontal="center" vertical="center"/>
    </xf>
    <xf numFmtId="0" fontId="53" fillId="27" borderId="0" applyAlignment="1" pivotButton="0" quotePrefix="0" xfId="0">
      <alignment vertical="center" indent="1"/>
    </xf>
    <xf numFmtId="0" fontId="54" fillId="36" borderId="0" applyAlignment="1" pivotButton="0" quotePrefix="0" xfId="0">
      <alignment vertical="top" indent="1"/>
    </xf>
    <xf numFmtId="0" fontId="55" fillId="24" borderId="0" applyAlignment="1" pivotButton="0" quotePrefix="0" xfId="0">
      <alignment horizontal="general" vertical="top" wrapText="1" indent="1"/>
    </xf>
    <xf numFmtId="0" fontId="40" fillId="0" borderId="0" applyAlignment="1" pivotButton="0" quotePrefix="0" xfId="0">
      <alignment horizontal="general" vertical="top" wrapText="1" indent="1"/>
    </xf>
    <xf numFmtId="0" fontId="56" fillId="24" borderId="15" applyAlignment="1" pivotButton="0" quotePrefix="0" xfId="0">
      <alignment horizontal="center" vertical="center" wrapText="1" indent="1"/>
    </xf>
    <xf numFmtId="0" fontId="57" fillId="0" borderId="0" applyAlignment="1" pivotButton="0" quotePrefix="0" xfId="0">
      <alignment horizontal="center" vertical="center" wrapText="1" indent="1"/>
    </xf>
    <xf numFmtId="0" fontId="58" fillId="30" borderId="16" applyAlignment="1" pivotButton="0" quotePrefix="0" xfId="0">
      <alignment horizontal="center" vertical="center" wrapText="1" indent="1"/>
    </xf>
    <xf numFmtId="0" fontId="59" fillId="32" borderId="17" applyAlignment="1" pivotButton="0" quotePrefix="0" xfId="0">
      <alignment horizontal="center" vertical="center" wrapText="1" indent="1"/>
    </xf>
    <xf numFmtId="0" fontId="60" fillId="34" borderId="18" applyAlignment="1" pivotButton="0" quotePrefix="0" xfId="0">
      <alignment horizontal="center" vertical="center" wrapText="1" indent="1"/>
    </xf>
    <xf numFmtId="0" fontId="61" fillId="27" borderId="19" applyAlignment="1" pivotButton="0" quotePrefix="0" xfId="0">
      <alignment horizontal="center" vertical="center" wrapText="1" indent="1"/>
    </xf>
    <xf numFmtId="0" fontId="62" fillId="0" borderId="0" applyAlignment="1" pivotButton="0" quotePrefix="0" xfId="0">
      <alignment horizontal="general" vertical="top" wrapText="1" indent="1"/>
    </xf>
    <xf numFmtId="0" fontId="49" fillId="25" borderId="0" applyAlignment="1" pivotButton="0" quotePrefix="0" xfId="0">
      <alignment horizontal="center" vertical="center" wrapText="1" indent="1"/>
    </xf>
    <xf numFmtId="0" fontId="53" fillId="27" borderId="0" applyAlignment="1" pivotButton="0" quotePrefix="0" xfId="0">
      <alignment horizontal="center" vertical="center" wrapText="1" indent="1"/>
    </xf>
    <xf numFmtId="0" fontId="35" fillId="21" borderId="0" applyAlignment="1" pivotButton="0" quotePrefix="0" xfId="0">
      <alignment vertical="center" indent="1"/>
    </xf>
    <xf numFmtId="0" fontId="63" fillId="0" borderId="0" applyAlignment="1" pivotButton="0" quotePrefix="0" xfId="0">
      <alignment horizontal="center" vertical="center" wrapText="1" indent="1"/>
    </xf>
    <xf numFmtId="0" fontId="40" fillId="28" borderId="0" applyAlignment="1" pivotButton="0" quotePrefix="0" xfId="0">
      <alignment horizontal="general" vertical="top" wrapText="1" indent="1"/>
    </xf>
    <xf numFmtId="0" fontId="43" fillId="28" borderId="0" applyAlignment="1" pivotButton="0" quotePrefix="0" xfId="0">
      <alignment horizontal="general" vertical="top" wrapText="1" indent="1"/>
    </xf>
    <xf numFmtId="0" fontId="40" fillId="27" borderId="0" applyAlignment="1" pivotButton="0" quotePrefix="0" xfId="0">
      <alignment horizontal="general" vertical="top" wrapText="1" indent="1"/>
    </xf>
    <xf numFmtId="0" fontId="40" fillId="25" borderId="0" applyAlignment="1" pivotButton="0" quotePrefix="0" xfId="0">
      <alignment horizontal="general" vertical="top" wrapText="1" indent="1"/>
    </xf>
    <xf numFmtId="0" fontId="43" fillId="25" borderId="0" applyAlignment="1" pivotButton="0" quotePrefix="0" xfId="0">
      <alignment horizontal="general" vertical="top" wrapText="1" indent="1"/>
    </xf>
    <xf numFmtId="0" fontId="64" fillId="26" borderId="0" applyAlignment="1" pivotButton="0" quotePrefix="0" xfId="0">
      <alignment horizontal="general" vertical="top" wrapText="1" indent="1"/>
    </xf>
    <xf numFmtId="0" fontId="37" fillId="22" borderId="0" applyAlignment="1" pivotButton="0" quotePrefix="0" xfId="0">
      <alignment vertical="center"/>
    </xf>
    <xf numFmtId="0" fontId="65" fillId="27" borderId="0" applyAlignment="1" pivotButton="0" quotePrefix="0" xfId="0">
      <alignment vertical="top" indent="1"/>
    </xf>
    <xf numFmtId="0" fontId="66" fillId="28" borderId="0" applyAlignment="1" pivotButton="0" quotePrefix="0" xfId="0">
      <alignment horizontal="general" vertical="top" wrapText="1" indent="1"/>
    </xf>
    <xf numFmtId="0" fontId="49" fillId="28" borderId="0" applyAlignment="1" pivotButton="0" quotePrefix="0" xfId="0">
      <alignment horizontal="general" vertical="top" wrapText="1" indent="1"/>
    </xf>
    <xf numFmtId="0" fontId="67" fillId="27" borderId="0" applyAlignment="1" pivotButton="0" quotePrefix="0" xfId="0">
      <alignment horizontal="general" vertical="top" wrapText="1" indent="1"/>
    </xf>
    <xf numFmtId="0" fontId="68" fillId="27" borderId="0" applyAlignment="1" pivotButton="0" quotePrefix="0" xfId="0">
      <alignment horizontal="general" vertical="top" wrapText="1" indent="1"/>
    </xf>
    <xf numFmtId="0" fontId="69" fillId="27" borderId="0" applyAlignment="1" pivotButton="0" quotePrefix="0" xfId="0">
      <alignment horizontal="general" vertical="top" wrapText="1" indent="1"/>
    </xf>
    <xf numFmtId="0" fontId="49" fillId="0" borderId="0" applyAlignment="1" pivotButton="0" quotePrefix="0" xfId="0">
      <alignment horizontal="general" vertical="top" wrapText="1" indent="1"/>
    </xf>
    <xf numFmtId="0" fontId="70" fillId="26" borderId="0" applyAlignment="1" pivotButton="0" quotePrefix="0" xfId="0">
      <alignment horizontal="general" vertical="top" wrapText="1" indent="1"/>
    </xf>
    <xf numFmtId="0" fontId="52" fillId="26" borderId="0" applyAlignment="1" pivotButton="0" quotePrefix="0" xfId="0">
      <alignment horizontal="general" vertical="top" wrapText="1" indent="1"/>
    </xf>
    <xf numFmtId="0" fontId="37" fillId="37" borderId="0" applyAlignment="1" pivotButton="0" quotePrefix="0" xfId="0">
      <alignment vertical="center"/>
    </xf>
    <xf numFmtId="0" fontId="71" fillId="27" borderId="0" applyAlignment="1" pivotButton="0" quotePrefix="0" xfId="0">
      <alignment vertical="top" indent="1"/>
    </xf>
    <xf numFmtId="0" fontId="75" fillId="0" borderId="0" applyAlignment="1" pivotButton="0" quotePrefix="0" xfId="0">
      <alignment vertical="center"/>
    </xf>
    <xf numFmtId="0" fontId="75" fillId="0" borderId="0" applyAlignment="1" pivotButton="0" quotePrefix="0" xfId="0">
      <alignment vertical="top"/>
    </xf>
    <xf numFmtId="0" fontId="79" fillId="0" borderId="0" applyAlignment="1" pivotButton="0" quotePrefix="0" xfId="0">
      <alignment vertical="top"/>
    </xf>
    <xf numFmtId="0" fontId="79" fillId="0" borderId="20" applyAlignment="1" pivotButton="0" quotePrefix="0" xfId="0">
      <alignment horizontal="center" vertical="center"/>
    </xf>
    <xf numFmtId="0" fontId="79" fillId="0" borderId="20" applyAlignment="1" pivotButton="0" quotePrefix="0" xfId="0">
      <alignment vertical="top"/>
    </xf>
    <xf numFmtId="0" fontId="77" fillId="38" borderId="20" applyAlignment="1" pivotButton="0" quotePrefix="0" xfId="0">
      <alignment vertical="center" wrapText="1" indent="1"/>
    </xf>
    <xf numFmtId="0" fontId="78" fillId="0" borderId="21" applyAlignment="1" pivotButton="0" quotePrefix="0" xfId="0">
      <alignment vertical="center"/>
    </xf>
    <xf numFmtId="0" fontId="78" fillId="0" borderId="21" applyAlignment="1" pivotButton="0" quotePrefix="0" xfId="0">
      <alignment vertical="top"/>
    </xf>
    <xf numFmtId="0" fontId="79" fillId="0" borderId="20" applyAlignment="1" pivotButton="0" quotePrefix="0" xfId="0">
      <alignment vertical="top" wrapText="1" indent="1"/>
    </xf>
    <xf numFmtId="0" fontId="79" fillId="0" borderId="20" applyAlignment="1" pivotButton="0" quotePrefix="0" xfId="0">
      <alignment vertical="center" wrapText="1" indent="1"/>
    </xf>
    <xf numFmtId="0" fontId="77" fillId="38" borderId="20" applyAlignment="1" pivotButton="0" quotePrefix="0" xfId="0">
      <alignment horizontal="left" vertical="center" wrapText="1" indent="1"/>
    </xf>
    <xf numFmtId="0" fontId="77" fillId="38" borderId="20" applyAlignment="1" pivotButton="0" quotePrefix="0" xfId="0">
      <alignment horizontal="center" vertical="center" wrapText="1" indent="1"/>
    </xf>
    <xf numFmtId="0" fontId="79" fillId="0" borderId="20" applyAlignment="1" pivotButton="0" quotePrefix="0" xfId="0">
      <alignment horizontal="left" vertical="center" wrapText="1" indent="1"/>
    </xf>
    <xf numFmtId="0" fontId="79" fillId="0" borderId="20" applyAlignment="1" pivotButton="0" quotePrefix="0" xfId="0">
      <alignment horizontal="center" vertical="center" wrapText="1" indent="1"/>
    </xf>
    <xf numFmtId="0" fontId="77" fillId="0" borderId="20" applyAlignment="1" pivotButton="0" quotePrefix="0" xfId="0">
      <alignment horizontal="left" vertical="center" wrapText="1" indent="1"/>
    </xf>
    <xf numFmtId="0" fontId="77" fillId="0" borderId="20" applyAlignment="1" pivotButton="0" quotePrefix="0" xfId="0">
      <alignment horizontal="center" vertical="center" wrapText="1" indent="1"/>
    </xf>
    <xf numFmtId="0" fontId="79" fillId="0" borderId="0" applyAlignment="1" pivotButton="0" quotePrefix="0" xfId="0">
      <alignment vertical="center"/>
    </xf>
    <xf numFmtId="0" fontId="78" fillId="0" borderId="21" applyAlignment="1" pivotButton="0" quotePrefix="0" xfId="0">
      <alignment vertical="center" indent="1"/>
    </xf>
    <xf numFmtId="0" fontId="79" fillId="0" borderId="20" applyAlignment="1" pivotButton="0" quotePrefix="0" xfId="0">
      <alignment horizontal="center" vertical="center" wrapText="1"/>
    </xf>
    <xf numFmtId="0" fontId="79" fillId="0" borderId="0" applyAlignment="1" pivotButton="0" quotePrefix="0" xfId="0">
      <alignment vertical="center" wrapText="1" indent="1"/>
    </xf>
    <xf numFmtId="0" fontId="77" fillId="38" borderId="20" applyAlignment="1" pivotButton="0" quotePrefix="0" xfId="0">
      <alignment vertical="top"/>
    </xf>
    <xf numFmtId="0" fontId="77" fillId="38" borderId="20" applyAlignment="1" pivotButton="0" quotePrefix="0" xfId="0">
      <alignment horizontal="center" vertical="center" wrapText="1"/>
    </xf>
    <xf numFmtId="0" fontId="77" fillId="38" borderId="20" applyAlignment="1" pivotButton="0" quotePrefix="0" xfId="0">
      <alignment vertical="center" indent="1"/>
    </xf>
    <xf numFmtId="0" fontId="76" fillId="0" borderId="0" applyAlignment="1" pivotButton="0" quotePrefix="0" xfId="0">
      <alignment vertical="top" wrapText="1"/>
    </xf>
    <xf numFmtId="0" fontId="77" fillId="38" borderId="20" applyAlignment="1" pivotButton="0" quotePrefix="0" xfId="0">
      <alignment vertical="center" wrapText="1"/>
    </xf>
    <xf numFmtId="0" fontId="77" fillId="0" borderId="20" applyAlignment="1" pivotButton="0" quotePrefix="0" xfId="0">
      <alignment horizontal="general" vertical="top" wrapText="1"/>
    </xf>
    <xf numFmtId="0" fontId="79" fillId="0" borderId="20" applyAlignment="1" pivotButton="0" quotePrefix="0" xfId="0">
      <alignment horizontal="general" vertical="top" wrapText="1"/>
    </xf>
    <xf numFmtId="0" fontId="79" fillId="0" borderId="20" applyAlignment="1" pivotButton="0" quotePrefix="0" xfId="0">
      <alignment horizontal="center" vertical="top" wrapText="1"/>
    </xf>
    <xf numFmtId="0" fontId="76" fillId="0" borderId="20" applyAlignment="1" pivotButton="0" quotePrefix="0" xfId="0">
      <alignment horizontal="general" vertical="top" wrapText="1"/>
    </xf>
    <xf numFmtId="0" fontId="79" fillId="0" borderId="20" applyAlignment="1" pivotButton="0" quotePrefix="0" xfId="0">
      <alignment vertical="top" wrapText="1"/>
    </xf>
    <xf numFmtId="0" fontId="77" fillId="0" borderId="20" applyAlignment="1" pivotButton="0" quotePrefix="0" xfId="0">
      <alignment vertical="top" wrapText="1"/>
    </xf>
    <xf numFmtId="0" fontId="80" fillId="0" borderId="0" applyAlignment="1" pivotButton="0" quotePrefix="0" xfId="0">
      <alignment vertical="top" wrapText="1"/>
    </xf>
    <xf numFmtId="0" fontId="81" fillId="0" borderId="0" applyAlignment="1" pivotButton="0" quotePrefix="0" xfId="0">
      <alignment vertical="center" wrapText="1"/>
    </xf>
    <xf numFmtId="0" fontId="82" fillId="0" borderId="0" applyAlignment="1" pivotButton="0" quotePrefix="0" xfId="0">
      <alignment vertical="top"/>
    </xf>
    <xf numFmtId="0" fontId="83" fillId="0" borderId="0" applyAlignment="1" pivotButton="0" quotePrefix="0" xfId="0">
      <alignment vertical="top" wrapText="1"/>
    </xf>
    <xf numFmtId="0" fontId="80" fillId="0" borderId="0" applyAlignment="1" pivotButton="0" quotePrefix="0" xfId="0">
      <alignment vertical="top"/>
    </xf>
    <xf numFmtId="0" fontId="83" fillId="0" borderId="20" applyAlignment="1" pivotButton="0" quotePrefix="0" xfId="0">
      <alignment vertical="center" wrapText="1"/>
    </xf>
    <xf numFmtId="0" fontId="79" fillId="0" borderId="20" applyAlignment="1" pivotButton="0" quotePrefix="0" xfId="0">
      <alignment vertical="center" wrapText="1"/>
    </xf>
    <xf numFmtId="0" fontId="84" fillId="0" borderId="20" applyAlignment="1" pivotButton="0" quotePrefix="0" xfId="0">
      <alignment vertical="center" wrapText="1"/>
    </xf>
    <xf numFmtId="0" fontId="77" fillId="0" borderId="20" applyAlignment="1" pivotButton="0" quotePrefix="0" xfId="0">
      <alignment vertical="center" wrapText="1"/>
    </xf>
    <xf numFmtId="0" fontId="76" fillId="0" borderId="20" applyAlignment="1" pivotButton="0" quotePrefix="0" xfId="0">
      <alignment vertical="center" wrapText="1"/>
    </xf>
    <xf numFmtId="0" fontId="85" fillId="0" borderId="2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6"/>
  <sheetViews>
    <sheetView showGridLines="0" tabSelected="1" zoomScale="109" workbookViewId="0">
      <pane xSplit="3" ySplit="4" topLeftCell="W9" activePane="bottomRight" state="frozen"/>
      <selection pane="topRight" activeCell="A1" sqref="A1"/>
      <selection pane="bottomLeft" activeCell="A1" sqref="A1"/>
      <selection pane="bottomRight" activeCell="Y10" sqref="Y10"/>
    </sheetView>
  </sheetViews>
  <sheetFormatPr baseColWidth="8" defaultRowHeight="14.5"/>
  <cols>
    <col width="5" customWidth="1" style="49" min="1" max="1"/>
    <col width="9" customWidth="1" style="49" min="2" max="2"/>
    <col width="20" customWidth="1" style="49" min="3" max="3"/>
    <col width="46" customWidth="1" style="49" min="4" max="4"/>
    <col width="26" customWidth="1" style="49" min="5" max="5"/>
    <col width="7" customWidth="1" style="49" min="6" max="6"/>
    <col width="21.26953125" customWidth="1" style="49" min="7" max="7"/>
    <col width="30" customWidth="1" style="49" min="8" max="8"/>
    <col width="28" customWidth="1" style="49" min="9" max="9"/>
    <col width="13" customWidth="1" style="49" min="10" max="10"/>
    <col width="24" customWidth="1" style="49" min="11" max="11"/>
    <col width="38" customWidth="1" style="49" min="12" max="12"/>
    <col width="44" customWidth="1" style="49" min="13" max="13"/>
    <col width="22" customWidth="1" style="49" min="14" max="14"/>
    <col width="40" customWidth="1" style="49" min="15" max="15"/>
    <col width="26" customWidth="1" style="49" min="16" max="17"/>
    <col width="13" customWidth="1" style="49" min="18" max="18"/>
    <col width="16" customWidth="1" style="49" min="19" max="19"/>
    <col width="46" customWidth="1" style="49" min="20" max="20"/>
    <col width="42" customWidth="1" style="49" min="21" max="21"/>
    <col width="40" customWidth="1" style="49" min="22" max="22"/>
    <col width="26" customWidth="1" style="49" min="23" max="23"/>
    <col width="38" customWidth="1" style="49" min="24" max="24"/>
    <col width="46" customWidth="1" style="49" min="25" max="25"/>
    <col width="48" customWidth="1" style="49" min="26" max="26"/>
    <col width="34" customWidth="1" style="49" min="27" max="27"/>
    <col width="44" customWidth="1" style="49" min="28" max="28"/>
    <col width="66" customWidth="1" style="49" min="29" max="29"/>
  </cols>
  <sheetData>
    <row r="1" ht="36" customHeight="1" s="49">
      <c r="A1" s="154" t="inlineStr">
        <is>
          <t xml:space="preserve">  The papers</t>
        </is>
      </c>
      <c r="B1" s="155" t="n"/>
      <c r="C1" s="155" t="n"/>
      <c r="D1" s="155" t="n"/>
      <c r="E1" s="155" t="n"/>
      <c r="F1" s="155" t="n"/>
      <c r="G1" s="155" t="n"/>
      <c r="H1" s="155" t="n"/>
      <c r="I1" s="155" t="n"/>
      <c r="J1" s="155" t="n"/>
      <c r="K1" s="155" t="n"/>
      <c r="L1" s="155" t="n"/>
      <c r="M1" s="155" t="n"/>
      <c r="N1" s="155" t="n"/>
      <c r="O1" s="155" t="n"/>
      <c r="P1" s="155" t="n"/>
      <c r="Q1" s="155" t="n"/>
      <c r="R1" s="155" t="n"/>
      <c r="S1" s="155" t="n"/>
      <c r="T1" s="155" t="n"/>
      <c r="U1" s="155" t="n"/>
      <c r="V1" s="155" t="n"/>
      <c r="W1" s="155" t="n"/>
      <c r="X1" s="155" t="n"/>
      <c r="Y1" s="155" t="n"/>
      <c r="Z1" s="155" t="n"/>
      <c r="AA1" s="155" t="n"/>
      <c r="AB1" s="155" t="n"/>
      <c r="AC1" s="155" t="n"/>
    </row>
    <row r="2" ht="6" customHeight="1" s="49">
      <c r="A2" s="156" t="n"/>
      <c r="B2" s="156" t="n"/>
      <c r="C2" s="156" t="n"/>
      <c r="D2" s="156" t="n"/>
      <c r="E2" s="156" t="n"/>
      <c r="F2" s="156" t="n"/>
      <c r="G2" s="156" t="n"/>
      <c r="H2" s="156" t="n"/>
      <c r="I2" s="156" t="n"/>
      <c r="J2" s="156" t="n"/>
      <c r="K2" s="156" t="n"/>
      <c r="L2" s="156" t="n"/>
      <c r="M2" s="156" t="n"/>
      <c r="N2" s="156" t="n"/>
      <c r="O2" s="156" t="n"/>
      <c r="P2" s="156" t="n"/>
      <c r="Q2" s="156" t="n"/>
      <c r="R2" s="156" t="n"/>
      <c r="S2" s="156" t="n"/>
      <c r="T2" s="156" t="n"/>
      <c r="U2" s="156" t="n"/>
      <c r="V2" s="156" t="n"/>
      <c r="W2" s="156" t="n"/>
      <c r="X2" s="156" t="n"/>
      <c r="Y2" s="156" t="n"/>
      <c r="Z2" s="156" t="n"/>
      <c r="AA2" s="156" t="n"/>
      <c r="AB2" s="156" t="n"/>
      <c r="AC2" s="156" t="n"/>
    </row>
    <row r="3" ht="20" customHeight="1" s="49">
      <c r="A3" s="157" t="inlineStr">
        <is>
          <t>PAPER</t>
        </is>
      </c>
      <c r="B3" s="158" t="n"/>
      <c r="C3" s="158" t="n"/>
      <c r="D3" s="158" t="n"/>
      <c r="E3" s="158" t="n"/>
      <c r="F3" s="158" t="n"/>
      <c r="G3" s="158" t="n"/>
      <c r="H3" s="158" t="n"/>
      <c r="I3" s="158" t="n"/>
      <c r="J3" s="158" t="n"/>
      <c r="K3" s="158" t="n"/>
      <c r="L3" s="158" t="n"/>
      <c r="M3" s="157" t="inlineStr">
        <is>
          <t>THE PROBLEM</t>
        </is>
      </c>
      <c r="N3" s="158" t="n"/>
      <c r="O3" s="157" t="inlineStr">
        <is>
          <t>THEIR DATA</t>
        </is>
      </c>
      <c r="P3" s="158" t="n"/>
      <c r="Q3" s="157" t="inlineStr">
        <is>
          <t>THEIR ONTOLOGY</t>
        </is>
      </c>
      <c r="R3" s="158" t="n"/>
      <c r="S3" s="158" t="n"/>
      <c r="T3" s="158" t="n"/>
      <c r="U3" s="158" t="n"/>
      <c r="V3" s="158" t="n"/>
      <c r="W3" s="158" t="n"/>
      <c r="X3" s="157" t="inlineStr">
        <is>
          <t>BUILDING IT</t>
        </is>
      </c>
      <c r="Y3" s="158" t="n"/>
      <c r="Z3" s="158" t="n"/>
      <c r="AA3" s="157" t="inlineStr">
        <is>
          <t>DID IT WORK</t>
        </is>
      </c>
      <c r="AB3" s="158" t="n"/>
      <c r="AC3" s="157" t="inlineStr">
        <is>
          <t>FOR US</t>
        </is>
      </c>
    </row>
    <row r="4" ht="40" customHeight="1" s="49">
      <c r="A4" s="159" t="inlineStr">
        <is>
          <t>#</t>
        </is>
      </c>
      <c r="B4" s="159" t="inlineStr">
        <is>
          <t>Group</t>
        </is>
      </c>
      <c r="C4" s="159" t="inlineStr">
        <is>
          <t>What I call it</t>
        </is>
      </c>
      <c r="D4" s="159" t="inlineStr">
        <is>
          <t>Full title</t>
        </is>
      </c>
      <c r="E4" s="159" t="inlineStr">
        <is>
          <t>Who wrote it</t>
        </is>
      </c>
      <c r="F4" s="159" t="inlineStr">
        <is>
          <t>Year</t>
        </is>
      </c>
      <c r="G4" s="159" t="inlineStr">
        <is>
          <t>Journal Rank</t>
        </is>
      </c>
      <c r="H4" s="159" t="inlineStr">
        <is>
          <t>Where it came out</t>
        </is>
      </c>
      <c r="I4" s="159" t="inlineStr">
        <is>
          <t>notes</t>
        </is>
      </c>
      <c r="J4" s="159" t="inlineStr">
        <is>
          <t>How many people cite it</t>
        </is>
      </c>
      <c r="K4" s="159" t="inlineStr">
        <is>
          <t>Where they're from</t>
        </is>
      </c>
      <c r="L4" s="159" t="inlineStr">
        <is>
          <t>Link</t>
        </is>
      </c>
      <c r="M4" s="159" t="inlineStr">
        <is>
          <t>What problem were they solving</t>
        </is>
      </c>
      <c r="N4" s="159" t="inlineStr">
        <is>
          <t>Who they built it for</t>
        </is>
      </c>
      <c r="O4" s="159" t="inlineStr">
        <is>
          <t>What data they used</t>
        </is>
      </c>
      <c r="P4" s="159" t="inlineStr">
        <is>
          <t>How much of it</t>
        </is>
      </c>
      <c r="Q4" s="159" t="inlineStr">
        <is>
          <t>Did they follow a proper method?</t>
        </is>
      </c>
      <c r="R4" s="159" t="inlineStr">
        <is>
          <t>How many classes</t>
        </is>
      </c>
      <c r="S4" s="159" t="inlineStr">
        <is>
          <t>How many properties</t>
        </is>
      </c>
      <c r="T4" s="159" t="inlineStr">
        <is>
          <t>The classes worth knowing about</t>
        </is>
      </c>
      <c r="U4" s="159" t="inlineStr">
        <is>
          <t>The properties</t>
        </is>
      </c>
      <c r="V4" s="159" t="inlineStr">
        <is>
          <t>Any rules or clever definitions</t>
        </is>
      </c>
      <c r="W4" s="159" t="inlineStr">
        <is>
          <t>can we download ontology</t>
        </is>
      </c>
      <c r="X4" s="159" t="inlineStr">
        <is>
          <t>How the data got in</t>
        </is>
      </c>
      <c r="Y4" s="159" t="inlineStr">
        <is>
          <t>Tools they used, and for what</t>
        </is>
      </c>
      <c r="Z4" s="159" t="inlineStr">
        <is>
          <t>How it actually recommends things</t>
        </is>
      </c>
      <c r="AA4" s="159" t="inlineStr">
        <is>
          <t>How they tested it</t>
        </is>
      </c>
      <c r="AB4" s="159" t="inlineStr">
        <is>
          <t>What they got, and does it hold up</t>
        </is>
      </c>
      <c r="AC4" s="159" t="inlineStr">
        <is>
          <t>What this means for us</t>
        </is>
      </c>
    </row>
    <row r="5" ht="26" customHeight="1" s="49">
      <c r="A5" s="160" t="inlineStr">
        <is>
          <t xml:space="preserve">  GROUP A   SKINCARE AND COSMETICS ONTOLOGIES     The ones doing what we are doing. These are the direct competitors.</t>
        </is>
      </c>
      <c r="B5" s="161" t="n"/>
      <c r="C5" s="161" t="n"/>
      <c r="D5" s="161" t="n"/>
      <c r="E5" s="161" t="n"/>
      <c r="F5" s="161" t="n"/>
      <c r="G5" s="161" t="n"/>
      <c r="H5" s="161" t="n"/>
      <c r="I5" s="161" t="n"/>
      <c r="J5" s="161" t="n"/>
      <c r="K5" s="161" t="n"/>
      <c r="L5" s="161" t="n"/>
      <c r="M5" s="161" t="n"/>
      <c r="N5" s="161" t="n"/>
      <c r="O5" s="161" t="n"/>
      <c r="P5" s="161" t="n"/>
      <c r="Q5" s="161" t="n"/>
      <c r="R5" s="161" t="n"/>
      <c r="S5" s="161" t="n"/>
      <c r="T5" s="161" t="n"/>
      <c r="U5" s="161" t="n"/>
      <c r="V5" s="161" t="n"/>
      <c r="W5" s="161" t="n"/>
      <c r="X5" s="161" t="n"/>
      <c r="Y5" s="161" t="n"/>
      <c r="Z5" s="161" t="n"/>
      <c r="AA5" s="161" t="n"/>
      <c r="AB5" s="161" t="n"/>
      <c r="AC5" s="161" t="n"/>
    </row>
    <row r="6" ht="150" customHeight="1" s="49">
      <c r="A6" s="162" t="inlineStr">
        <is>
          <t>1</t>
        </is>
      </c>
      <c r="B6" s="157" t="inlineStr">
        <is>
          <t>A</t>
        </is>
      </c>
      <c r="C6" s="163" t="inlineStr">
        <is>
          <t>Moe &amp; Aung</t>
        </is>
      </c>
      <c r="D6" s="162" t="inlineStr">
        <is>
          <t>Building Ontologies for Cross-domain Recommendation on Facial Skin Problem and Related Cosmetics</t>
        </is>
      </c>
      <c r="E6" s="162" t="inlineStr">
        <is>
          <t>Hla Hla Moe, Win Thanda Aung</t>
        </is>
      </c>
      <c r="F6" s="162" t="inlineStr">
        <is>
          <t>2014</t>
        </is>
      </c>
      <c r="G6" s="162" t="n"/>
      <c r="H6" s="162" t="inlineStr">
        <is>
          <t>Int. Journal of Information Technology and Computer Science, 6(6), 33 to 39</t>
        </is>
      </c>
      <c r="I6" s="162" t="inlineStr">
        <is>
          <t>weak journal. I cite it for the method, not the standing</t>
        </is>
      </c>
      <c r="J6" s="162" t="inlineStr">
        <is>
          <t>3 (2014), 8 (2016 reprint)</t>
        </is>
      </c>
      <c r="K6" s="162" t="inlineStr">
        <is>
          <t>Two universities in Myanmar</t>
        </is>
      </c>
      <c r="L6" s="162" t="inlineStr">
        <is>
          <t>doi.org/10.5815/ijitcs.2014.06.05</t>
        </is>
      </c>
      <c r="M6" s="162" t="inlineStr">
        <is>
          <t>Your skin problem lives in one world, the products live in another. How do you bridge them? No dataset links the two, so they built both worlds themselves.</t>
        </is>
      </c>
      <c r="N6" s="162" t="inlineStr">
        <is>
          <t>People with a skin complaint</t>
        </is>
      </c>
      <c r="O6" s="162" t="inlineStr">
        <is>
          <t>Nothing stated. No source, no size. Biggest weakness of the paper</t>
        </is>
      </c>
      <c r="P6" s="162" t="inlineStr">
        <is>
          <t>They never say</t>
        </is>
      </c>
      <c r="Q6" s="162" t="inlineStr">
        <is>
          <t>Not named, but it is an eight step procedure: glossary, taxonomies, relation diagrams, concept dictionary, and so on. That is METHONTOLOGY in all but name</t>
        </is>
      </c>
      <c r="R6" s="162" t="inlineStr">
        <is>
          <t>They never say</t>
        </is>
      </c>
      <c r="S6" s="162" t="inlineStr">
        <is>
          <t>They never say</t>
        </is>
      </c>
      <c r="T6" s="162" t="inlineStr">
        <is>
          <t>Problem side: Questions, Answers (YesNo and Concept), QApairs, Problems, Solutions. Cosmetics side: FacialFoam, Toner, CleansingCream, MilkyLotion, plus ContextualFeatures holding PlaceZone, AgeLevel, Brand, Season, PriceRange</t>
        </is>
      </c>
      <c r="U6" s="162" t="inlineStr">
        <is>
          <t>isNextRelatedTo (which question to ask next), hasQuestion, hasAnswer, hasProblem, hasSolution, hasIngredients, hasIngValue, consistsOfPlaceZone</t>
        </is>
      </c>
      <c r="V6" s="162" t="inlineStr">
        <is>
          <t>None. No defined classes, no rules</t>
        </is>
      </c>
      <c r="W6" s="162" t="inlineStr">
        <is>
          <t>No. It only exists as figures in the paper</t>
        </is>
      </c>
      <c r="X6" s="162" t="inlineStr">
        <is>
          <t>Not reported. I think most certainly typed in by hand in Protege</t>
        </is>
      </c>
      <c r="Y6" s="162" t="inlineStr">
        <is>
          <t>Protege to build both ontologies. No reasoner at all, no SPARQL, no outside data. An ontology paper that never actually reasons</t>
        </is>
      </c>
      <c r="Z6" s="162" t="inlineStr">
        <is>
          <t>Three steps. (1) The system asks you questions until 'I have acne' becomes 'papules', six questions in their example. (2) Problem and products go into a graph. (3) Ford-Fulkerson, a water-through-pipes algorithm, scores each product. Most flow wins</t>
        </is>
      </c>
      <c r="AA6" s="162" t="inlineStr">
        <is>
          <t>Precision, recall, F-measure, plotted against a cut-off they call alpha</t>
        </is>
      </c>
      <c r="AB6" s="162" t="inlineStr">
        <is>
          <t>Ten products scored 0.32 to 0.70. But no dataset size, no baseline, and they claim to beat related work with no comparison table anywhere. Doesn't hold up</t>
        </is>
      </c>
      <c r="AC6" s="162" t="inlineStr">
        <is>
          <t>Take: the eight task checklist, especially task 1, a glossary of every term with its synonyms (ya3ne our unified schema). Also their ContextualFeatures class: price and place describe a product as sold somewhere, not the product itself.
Leave: Ford-Fulkerson. My products already carry availability, price and evidence level, so a weighted filter does the same job.
They can't: say an ingredient is regulated. Theirs is just text with a number. Ours links to CosIng on 99.2% of products.
My idea: their throwaway Season class. Beirut summer is humid, winter is dry. Nobody in the whole review models climate.</t>
        </is>
      </c>
    </row>
    <row r="7" ht="178" customHeight="1" s="49">
      <c r="A7" s="162" t="inlineStr">
        <is>
          <t>2</t>
        </is>
      </c>
      <c r="B7" s="157" t="inlineStr">
        <is>
          <t>A</t>
        </is>
      </c>
      <c r="C7" s="163" t="inlineStr">
        <is>
          <t>OntoCosmetic</t>
        </is>
      </c>
      <c r="D7" s="162" t="inlineStr">
        <is>
          <t>Towards an ontology-based decision support system for the design of emulsion-based cosmetic products (2021), and Decision making software for cosmetic product design based on an ontology, the Formultools app (2023)</t>
        </is>
      </c>
      <c r="E7" s="162" t="inlineStr">
        <is>
          <t>J. Serna, V. Falk, P. Perre, M. Camargo, S. Morel (2021); A. Gabriel, M. Camargo, S. Morel, J. Serna (2023)</t>
        </is>
      </c>
      <c r="F7" s="162" t="inlineStr">
        <is>
          <t>2021 and 2023</t>
        </is>
      </c>
      <c r="G7" s="162" t="n"/>
      <c r="H7" s="162" t="inlineStr">
        <is>
          <t>European Congress of Chemical Engineering (2021); ESCAPE-33, pp 1987 to 1992 (2023)</t>
        </is>
      </c>
      <c r="I7" s="162" t="inlineStr">
        <is>
          <t>Respectable chemical engineering venues. Two papers, one ontology</t>
        </is>
      </c>
      <c r="J7" s="162" t="inlineStr">
        <is>
          <t>They never say</t>
        </is>
      </c>
      <c r="K7" s="162" t="inlineStr">
        <is>
          <t>Universite de Lorraine, France, with Universidad Nacional de Colombia</t>
        </is>
      </c>
      <c r="L7" s="162" t="inlineStr">
        <is>
          <t>purl.org/ontocosmetic  |  doi.org/10.1016/B978-0-443-15274-0.50316-4</t>
        </is>
      </c>
      <c r="M7" s="162" t="inlineStr">
        <is>
          <t>Help a chemist design a cream tha+L6+M7+L6+M7</t>
        </is>
      </c>
      <c r="N7" s="162" t="inlineStr">
        <is>
          <t>Cosmetic formulators, not shoppers</t>
        </is>
      </c>
      <c r="O7" s="162" t="inlineStr">
        <is>
          <t>Emulsion science, expert knowledge, ingredient databases typed by function, and heuristics (rules of thumb)</t>
        </is>
      </c>
      <c r="P7" s="162" t="inlineStr">
        <is>
          <t>279 individuals in the file</t>
        </is>
      </c>
      <c r="Q7" s="162" t="inlineStr">
        <is>
          <t>No. But the 2023 app used a proper design method: five planes user-centred design, co-design with experts, iterated with usability tests</t>
        </is>
      </c>
      <c r="R7" s="162" t="inlineStr">
        <is>
          <t>116 (I counted)</t>
        </is>
      </c>
      <c r="S7" s="162" t="inlineStr">
        <is>
          <t>26 object, 20 data (I counted)</t>
        </is>
      </c>
      <c r="T7" s="162" t="inlineStr">
        <is>
          <t>HLB, DropletSize, Rheology, AqueousThickeners, OWCosmeticEmulsion, HeuristicForSurfactant, MeltingPoint, Emollient_Dosage. Ingredient types: Emollient, Surfactant, Thickener, Active, Preservative, UvFilter, Humectant, Antioxidant, Stabilizer, PHRegulator</t>
        </is>
      </c>
      <c r="U7" s="162" t="inlineStr">
        <is>
          <t>hasHeuristicHighThreshold, hasHeuristicLowThreshold, hasHeuristicSource (where each rule came from), hasOrigin (natural or synthetic)</t>
        </is>
      </c>
      <c r="V7" s="162" t="inlineStr">
        <is>
          <t>Yes, SWRL rules in Protege for the formulation heuristics, each with a high and low threshold and a source</t>
        </is>
      </c>
      <c r="W7" s="162" t="inlineStr">
        <is>
          <t>YES. purl.org/ontocosmetic. The only one in the whole review you can actually download</t>
        </is>
      </c>
      <c r="X7" s="162" t="inlineStr">
        <is>
          <t>By hand, by experts. 279 individuals typed in. (impossible for us)</t>
        </is>
      </c>
      <c r="Y7" s="162" t="inlineStr">
        <is>
          <t>Protege with SWRL rules. AttrakDiff questionnaire to measure the app each iteration. AHP (Analytic Hierarchy Process) to weigh several criteria: you pick the properties, say which to maximise, compare them in pairs, and it computes weights. No SPARQL, no outside data</t>
        </is>
      </c>
      <c r="Z7" s="162" t="inlineStr">
        <is>
          <t>It doesn't recommend to a shopper. The app does three things for a formulator: screen ingredients by property, rank ingredients on several criteria at once using AHP, and check a proposed formula against the heuristics</t>
        </is>
      </c>
      <c r="AA7" s="162" t="inlineStr">
        <is>
          <t>2021: one case study, a moisturising cream. 2023: AttrakDiff with non-expert testers between iterations</t>
        </is>
      </c>
      <c r="AB7" s="162" t="inlineStr">
        <is>
          <t>No numbers. And they say in their own conclusion that expert testing was still future work. So the most serious cosmetics ontology out there was never validated with experts</t>
        </is>
      </c>
      <c r="AC7" s="162" t="inlineStr">
        <is>
          <t>Take: the ingredient function names (emollient, humectant, preservative, UV filter). Keeping product properties separate from ingredient properties. hasOrigin. And hasHeuristicSource: every rule records where it came from, same instinct as our evidence levels. They measured user experience with a standard instrument and reported it. Almost nobody in my review reports any named evaluation instrument. We can take this maybe.
Leave: the whole chemistry branch (HLB, droplet size, rheology). Manufacturers never publish it. And the mobile app itself.
They can't: say whether you can buy it, what it costs, or who made the claim on the box.
My idea: flip it. They go from goal to ingredients. We have 295,991 ingredient mentions with functions, so we could go from ingredients back to what the formulator was trying to do, and check it against their rules.</t>
        </is>
      </c>
    </row>
    <row r="8" ht="150" customHeight="1" s="49">
      <c r="A8" s="162" t="inlineStr">
        <is>
          <t>3</t>
        </is>
      </c>
      <c r="B8" s="157" t="inlineStr">
        <is>
          <t>A</t>
        </is>
      </c>
      <c r="C8" s="163" t="inlineStr">
        <is>
          <t>Hansanie &amp; Silva</t>
        </is>
      </c>
      <c r="D8" s="162" t="inlineStr">
        <is>
          <t>Ontology based Machine Learning Approach for Facial Skincare Products Recommendation</t>
        </is>
      </c>
      <c r="E8" s="162" t="inlineStr">
        <is>
          <t>Maduri Hansanie, Thushari Silva</t>
        </is>
      </c>
      <c r="F8" s="162" t="inlineStr">
        <is>
          <t>2024</t>
        </is>
      </c>
      <c r="G8" s="162" t="n"/>
      <c r="H8" s="162" t="inlineStr">
        <is>
          <t>IEEE Int. Conference on Image Processing and Robotics (ICIPRoB)</t>
        </is>
      </c>
      <c r="I8" s="162" t="inlineStr">
        <is>
          <t>IEEE conference.</t>
        </is>
      </c>
      <c r="J8" s="162" t="inlineStr">
        <is>
          <t>2</t>
        </is>
      </c>
      <c r="K8" s="162" t="inlineStr">
        <is>
          <t>University of Moratuwa, Sri Lanka</t>
        </is>
      </c>
      <c r="L8" s="162" t="inlineStr">
        <is>
          <t>doi.org/10.1109/ICIPRoB62548.2024.10543444</t>
        </is>
      </c>
      <c r="M8" s="162" t="inlineStr">
        <is>
          <t>Choosing skincare is hard and the wrong product makes skin worse. Read the user's face with a neural network, then let an ontology pick the products.</t>
        </is>
      </c>
      <c r="N8" s="162" t="inlineStr">
        <is>
          <t>Consumers, especially with acne</t>
        </is>
      </c>
      <c r="O8" s="162" t="inlineStr">
        <is>
          <t>For the vocabulary: interviews with dermatologists, plus a survey of 11 men and 10 women aged 21 to 30. For the image model: the ACNE04 dataset (Xiaoping Wu) topped up with DermNet photos</t>
        </is>
      </c>
      <c r="P8" s="162" t="inlineStr">
        <is>
          <t>21 people surveyed for vocabulary, 24 tested the system. Product count never given</t>
        </is>
      </c>
      <c r="Q8" s="162" t="inlineStr">
        <is>
          <t>Not named. Built top down: general classes first, specific ones underneath. Split into THREE ontologies then merged</t>
        </is>
      </c>
      <c r="R8" s="162" t="inlineStr">
        <is>
          <t>They never say</t>
        </is>
      </c>
      <c r="S8" s="162" t="inlineStr">
        <is>
          <t>They never say</t>
        </is>
      </c>
      <c r="T8" s="162" t="inlineStr">
        <is>
          <t>Person, TreatmentProduct (e.g. AcneControlCleanser), SkinType (e.g. OilySkin), KeyIngredient (e.g. SalicylicAcid), ProductRecommendation. Three files: skincare concepts, product info, user profile</t>
        </is>
      </c>
      <c r="U8" s="162" t="inlineStr">
        <is>
          <t>suitableFor (product to skin type), hasKeyIngredient, hasProductRecommendation, hasRating, hasAge, hasGender</t>
        </is>
      </c>
      <c r="V8" s="162" t="inlineStr">
        <is>
          <t>None reported. Pellet checks consistency</t>
        </is>
      </c>
      <c r="W8" s="162" t="inlineStr">
        <is>
          <t>No link given anywhere</t>
        </is>
      </c>
      <c r="X8" s="162" t="inlineStr">
        <is>
          <t>Not clearly reported. The spreadsheet-to-ontology step is described as design, not automation</t>
        </is>
      </c>
      <c r="Y8" s="162" t="inlineStr">
        <is>
          <t>Protege to build. Pellet reasoner to check consistency and infer. Owlready2 to query from Python. Tkinter for the desktop window. A small CNN (three Conv2D layers, 16/32/16 filters, softmax over 3 classes) for the photo. No SPARQL, no outside data</t>
        </is>
      </c>
      <c r="Z8" s="162" t="inlineStr">
        <is>
          <t>Photo goes in. CNN grades acne as mild, moderate or severe (they merged severe and very severe because the data was unbalanced). That grade is written into the ontology as a fact about the user. Pellet reasons. Owlready2 pulls the products out. Image model and knowledge stay separate</t>
        </is>
      </c>
      <c r="AA8" s="162" t="inlineStr">
        <is>
          <t>Standard ML metrics for the CNN. Then a five-point survey of 24 people who tried the system</t>
        </is>
      </c>
      <c r="AB8" s="162" t="inlineStr">
        <is>
          <t>CNN: accuracy 77.5%, precision 78.2%, recall 75.1%, F1 76.6%. Survey: 87.5% said products suited them, 91.7% said the interface was easy. The headline 87.5 is satisfaction, NOT accuracy. No baseline, no ground truth. Quote it correctly and we look careful</t>
        </is>
      </c>
      <c r="AC8" s="162" t="inlineStr">
        <is>
          <t>Take: three separate ontologies merged, because the three parts change at completely different speeds (products weekly, medical knowledge almost never). A reasoner from day one. Ratings inside the ontology. Owlready2 since our pipeline is Python.
Leave: the CNN. No face photos, no ethics approval, and our contribution is the product side. Their layered design means it could be added later.
They can't: say a product is stocked in Beirut, costs 11 dollars, and has a restricted preservative. They did consult dermatologists though, and we have not. Say that before they ask.
My idea: their architecture has an empty socket where the camera plugs in. We could plug in a BARCODE. Scan the box in the pharmacy, ask if it suits you and if it is cheaper next door.</t>
        </is>
      </c>
    </row>
    <row r="9" ht="150" customHeight="1" s="49">
      <c r="A9" s="162" t="inlineStr">
        <is>
          <t>4</t>
        </is>
      </c>
      <c r="B9" s="157" t="inlineStr">
        <is>
          <t>A</t>
        </is>
      </c>
      <c r="C9" s="163" t="inlineStr">
        <is>
          <t>Abesova (VU Amsterdam)</t>
        </is>
      </c>
      <c r="D9" s="162" t="inlineStr">
        <is>
          <t>Skincare Ontology for Personalised Recommendation</t>
        </is>
      </c>
      <c r="E9" s="162" t="inlineStr">
        <is>
          <t>S. Abesova, K. Hajkova, Y. Ramadan, M. Zdych</t>
        </is>
      </c>
      <c r="F9" s="162" t="inlineStr">
        <is>
          <t>2023</t>
        </is>
      </c>
      <c r="G9" s="162" t="n"/>
      <c r="H9" s="162" t="inlineStr">
        <is>
          <t>Vrije Universiteit Amsterdam, Knowledge and Data course, Group 31</t>
        </is>
      </c>
      <c r="I9" s="162" t="inlineStr">
        <is>
          <t>A STUDENT PROJECT</t>
        </is>
      </c>
      <c r="J9" s="162" t="inlineStr">
        <is>
          <t>0</t>
        </is>
      </c>
      <c r="K9" s="162" t="inlineStr">
        <is>
          <t>Vrije Universiteit Amsterdam, Netherlands</t>
        </is>
      </c>
      <c r="L9" s="162" t="inlineStr">
        <is>
          <t>In repo/papers/</t>
        </is>
      </c>
      <c r="M9" s="162" t="inlineStr">
        <is>
          <t>Give someone a full routine from four inputs: skin type, skin tone, country, and how much effort they will put in.</t>
        </is>
      </c>
      <c r="N9" s="162" t="inlineStr">
        <is>
          <t>Consumers</t>
        </is>
      </c>
      <c r="O9" s="162" t="inlineStr">
        <is>
          <t>A Sephora review CSV they found on GitHub, a second CSV of countries with Sephora shops, and DBpedia for country data</t>
        </is>
      </c>
      <c r="P9" s="162" t="inlineStr">
        <is>
          <t>36 classes, 6 object properties, 6 data properties</t>
        </is>
      </c>
      <c r="Q9" s="162" t="inlineStr">
        <is>
          <t>Yes: middle out. Start with what you are sure of, work outward both ways. Explicitly iterative, scope widened twice as new CSVs arrived</t>
        </is>
      </c>
      <c r="R9" s="162" t="inlineStr">
        <is>
          <t>36</t>
        </is>
      </c>
      <c r="S9" s="162" t="inlineStr">
        <is>
          <t>6 object, 6 data</t>
        </is>
      </c>
      <c r="T9" s="162" t="inlineStr">
        <is>
          <t>Category (Cleanser, Moisturizer, Treatment; Treatment splits into Exfoliant, Serum, Toner; SPF under Moisturizer). Product with four skin-type subclasses. Skin Type. Skin Tone with nine values. Brand, Country, Rating Stars, Review Id</t>
        </is>
      </c>
      <c r="U9" s="162" t="inlineStr">
        <is>
          <t>hasBrand, hasCategory, hasSkinType, hasSkinTone, aboutProduct, hasReviewId, hasRating, hasOilyScore, hasDryScore, hasNormalScore, hasCombinationScore, hasSephoraWebPage</t>
        </is>
      </c>
      <c r="V9" s="162" t="inlineStr">
        <is>
          <t>YES, the most important idea in the whole review. OilySkinProducts is DEFINED as 'hasOilyScore value 5'. They never tag a product. The reasoner works out who belongs. Same for Dry, Normal, Combination. Also skc:Cleanser is declared equivalent to rdf:Cleanser to merge two vocabularies</t>
        </is>
      </c>
      <c r="W9" s="162" t="inlineStr">
        <is>
          <t>No</t>
        </is>
      </c>
      <c r="X9" s="162" t="inlineStr">
        <is>
          <t>CSV into OntoRefine, mapped columns to classes, built the graphs with SPARQL CONSTRUCT, downloaded nine Turtle files, imported them into GraphDB with the base ontology. A real tool, not a script</t>
        </is>
      </c>
      <c r="Y9" s="162" t="inlineStr">
        <is>
          <t>OntoRefine to map CSV to RDF. GraphDB to store and reason with class restrictions. SPARQL for everything. DBpedia through an outside endpoint: dbr:Czech_Republic gave the country, then its capital dbr:Prague, then geo:lat and geo:long for a map, without typing any of it</t>
        </is>
      </c>
      <c r="Z9" s="162" t="inlineStr">
        <is>
          <t>It is a set of SPARQL queries, not code. Class restrictions put products into skin-type classes automatically, then queries pick three per category and add the Sephora page for your country</t>
        </is>
      </c>
      <c r="AA9" s="162" t="inlineStr">
        <is>
          <t>One worked example. No metrics</t>
        </is>
      </c>
      <c r="AB9" s="162" t="inlineStr">
        <is>
          <t>9 products for one user, three per category. They admit the interface was rushed and shows raw URIs. Doesn't hold up as evaluation, but that is not why I cite it</t>
        </is>
      </c>
      <c r="AC9" s="162" t="inlineStr">
        <is>
          <t>Take: THE DEFINED CLASS. Write the rule once instead of tagging 4,000 rows. OntoRefine as a way to load data. DBpedia linking to get facts free.
Leave: their classes rest on review scores. Ours will rest on the formula.
They can't: their own limitation 3, in their words: 'class restrictions based on ingredients could be developed. This would ensure a more symbolic and chemical approach.' MY CONTRIBUTION IS WRITTEN AS FUTURE WORK IN THEIR PAPER.
My idea: they pulled PLACE out of DBpedia. I can pull OWNERSHIP out of Wikidata. L'Oreal owns 570 of our products across 9 brands. 118 of them have niacinamide and sell in Lebanon, from $0.51 (Vichy) to $185.58 (SkinCeuticals). Same company, same active, 364x the price.</t>
        </is>
      </c>
    </row>
    <row r="10" ht="150" customHeight="1" s="49">
      <c r="A10" s="162" t="inlineStr">
        <is>
          <t>5</t>
        </is>
      </c>
      <c r="B10" s="157" t="inlineStr">
        <is>
          <t>A</t>
        </is>
      </c>
      <c r="C10" s="163" t="inlineStr">
        <is>
          <t>bit-Tech 2025</t>
        </is>
      </c>
      <c r="D10" s="162" t="inlineStr">
        <is>
          <t>Personalized Skincare Recommendation System Based on Ontology and User Preferences</t>
        </is>
      </c>
      <c r="E10" s="162" t="inlineStr">
        <is>
          <t>Not yet confirmed. I only have the abstract</t>
        </is>
      </c>
      <c r="F10" s="162" t="inlineStr">
        <is>
          <t>2025</t>
        </is>
      </c>
      <c r="G10" s="162" t="n"/>
      <c r="H10" s="162" t="inlineStr">
        <is>
          <t>bit-Tech, Komunitas Dosen Indonesia</t>
        </is>
      </c>
      <c r="I10" s="162" t="inlineStr">
        <is>
          <t>Regional Indonesian journal. Modest standing but the work is directly comparable to ours. NEED THE FULL PDF</t>
        </is>
      </c>
      <c r="J10" s="162" t="inlineStr">
        <is>
          <t>They never say</t>
        </is>
      </c>
      <c r="K10" s="162" t="inlineStr">
        <is>
          <t>Indonesia</t>
        </is>
      </c>
      <c r="L10" s="162" t="inlineStr">
        <is>
          <t>jurnal.kdi.or.id/index.php/bt/article/view/2857</t>
        </is>
      </c>
      <c r="M10" s="162" t="inlineStr">
        <is>
          <t>Content-based and collaborative filtering miss the links between skin types, concerns and ingredients. An ontology captures them.</t>
        </is>
      </c>
      <c r="N10" s="162" t="inlineStr">
        <is>
          <t>Indonesian skincare consumers</t>
        </is>
      </c>
      <c r="O10" s="162" t="inlineStr">
        <is>
          <t>Web scraping of Sociolla, Beautyhaul and SKINSORT. Note: Skinsort is the same global source we used</t>
        </is>
      </c>
      <c r="P10" s="162" t="inlineStr">
        <is>
          <t>Over 3,800 products and over 28,000 ingredients</t>
        </is>
      </c>
      <c r="Q10" s="162" t="inlineStr">
        <is>
          <t>YES, METHONTOLOGY, named explicitly</t>
        </is>
      </c>
      <c r="R10" s="162" t="inlineStr">
        <is>
          <t>12</t>
        </is>
      </c>
      <c r="S10" s="162" t="inlineStr">
        <is>
          <t>More than 25 object properties</t>
        </is>
      </c>
      <c r="T10" s="162" t="inlineStr">
        <is>
          <t>User, Product, Brand, Product Category, Allergen Type, Ingredient, Benefit, Formulation Trait, Key Ingredient, Skin Concern, Skin Type, What It Does</t>
        </is>
      </c>
      <c r="U10" s="162" t="inlineStr">
        <is>
          <t>Abstract doesn't say</t>
        </is>
      </c>
      <c r="V10" s="162" t="inlineStr">
        <is>
          <t>Abstract doesn't say</t>
        </is>
      </c>
      <c r="W10" s="162" t="inlineStr">
        <is>
          <t>Not stated in the abstract. CHECK when I get the PDF</t>
        </is>
      </c>
      <c r="X10" s="162" t="inlineStr">
        <is>
          <t>Web scraping into the ontology. Whether a mapping language was used is not stated. Find out</t>
        </is>
      </c>
      <c r="Y10" s="162" t="inlineStr">
        <is>
          <t>Apache Jena Fuseki to store and query. SPARQL with reasoning. No outside data mentioned</t>
        </is>
      </c>
      <c r="Z10" s="162" t="inlineStr">
        <is>
          <t>SPARQL over the ontology with semantic reasoning, per the abstract</t>
        </is>
      </c>
      <c r="AA10" s="162" t="inlineStr">
        <is>
          <t>Not clear from the abstract</t>
        </is>
      </c>
      <c r="AB10" s="162" t="inlineStr">
        <is>
          <t>Can't tell without the full paper</t>
        </is>
      </c>
      <c r="AC10" s="162" t="inlineStr">
        <is>
          <t>Take: two class names I would not have thought of: Formulation Trait and What It Does. That split IS our evidence problem in class form. What It Does is the marketing claim, Formulation Trait is the physical fact.
Leave: their market and their homemade allergen list.
They can't: Indonesia vs our Lebanon where availability itself is uncertain. 3,800 vs our 12,629. Their allergen class vs our link to the EU register of 28,573 entries. No price, no availability, no provenance.
My idea: adopt their two class names, attach our evidence levels to What It Does and our CosIng derivation to Formulation Trait. Then the model says openly which half of a product description is advertising.</t>
        </is>
      </c>
    </row>
    <row r="11" ht="150" customHeight="1" s="49">
      <c r="A11" s="162" t="inlineStr">
        <is>
          <t>6</t>
        </is>
      </c>
      <c r="B11" s="157" t="inlineStr">
        <is>
          <t>A</t>
        </is>
      </c>
      <c r="C11" s="163" t="inlineStr">
        <is>
          <t>Utari (JELIKU)</t>
        </is>
      </c>
      <c r="D11" s="162" t="inlineStr">
        <is>
          <t>Pengembangan Ontologi Semantik Pada Domain Produk Kosmetik</t>
        </is>
      </c>
      <c r="E11" s="162" t="inlineStr">
        <is>
          <t>N. N. R. D. Utari et al.</t>
        </is>
      </c>
      <c r="F11" s="162" t="inlineStr">
        <is>
          <t>2023</t>
        </is>
      </c>
      <c r="G11" s="162" t="n"/>
      <c r="H11" s="162" t="inlineStr">
        <is>
          <t>JELIKU, Universitas Udayana, Indonesia</t>
        </is>
      </c>
      <c r="I11" s="162" t="inlineStr">
        <is>
          <t>Small regional journal</t>
        </is>
      </c>
      <c r="J11" s="162" t="inlineStr">
        <is>
          <t>0</t>
        </is>
      </c>
      <c r="K11" s="162" t="inlineStr">
        <is>
          <t>Universitas Udayana, Indonesia</t>
        </is>
      </c>
      <c r="L11" s="162" t="inlineStr">
        <is>
          <t>consensus.app/papers/details/9f025755693f50298a45b5c165537fbc</t>
        </is>
      </c>
      <c r="M11" s="162" t="inlineStr">
        <is>
          <t>Too many cosmetic products to choose from. Use a semantic ontology to help.</t>
        </is>
      </c>
      <c r="N11" s="162" t="inlineStr">
        <is>
          <t>Indonesian buyers</t>
        </is>
      </c>
      <c r="O11" s="162" t="inlineStr">
        <is>
          <t>Cosmetic product data, source not given</t>
        </is>
      </c>
      <c r="P11" s="162" t="inlineStr">
        <is>
          <t>3 classes, 5 object properties, 62 individuals</t>
        </is>
      </c>
      <c r="Q11" s="162" t="inlineStr">
        <is>
          <t>YES, METHONTOLOGY</t>
        </is>
      </c>
      <c r="R11" s="162" t="inlineStr">
        <is>
          <t>3</t>
        </is>
      </c>
      <c r="S11" s="162" t="inlineStr">
        <is>
          <t>5 object</t>
        </is>
      </c>
      <c r="T11" s="162" t="inlineStr">
        <is>
          <t>Abstract doesn't say</t>
        </is>
      </c>
      <c r="U11" s="162" t="inlineStr">
        <is>
          <t>Abstract doesn't say</t>
        </is>
      </c>
      <c r="V11" s="162" t="inlineStr">
        <is>
          <t>None stated</t>
        </is>
      </c>
      <c r="W11" s="162" t="inlineStr">
        <is>
          <t>No</t>
        </is>
      </c>
      <c r="X11" s="162" t="inlineStr">
        <is>
          <t>They never say</t>
        </is>
      </c>
      <c r="Y11" s="162" t="inlineStr">
        <is>
          <t>Not stated. SPARQL for evaluation</t>
        </is>
      </c>
      <c r="Z11" s="162" t="inlineStr">
        <is>
          <t>Not really a recommender. They ran SPARQL queries and checked the results looked right</t>
        </is>
      </c>
      <c r="AA11" s="162" t="inlineStr">
        <is>
          <t>SPARQL queries</t>
        </is>
      </c>
      <c r="AB11" s="162" t="inlineStr">
        <is>
          <t>No numbers. It is a proof of concept and doesn't pretend otherwise</t>
        </is>
      </c>
      <c r="AC11" s="162" t="inlineStr">
        <is>
          <t>Take: honestly not much. I keep it for one reason: 62 products next to our 12,629 shows the scale without me claiming anything. It also shows METHONTOLOGY is the default here, which is why choosing something else needs a stated reason.
Leave: everything else.
They can't: same as all of group A.
My idea: none.</t>
        </is>
      </c>
    </row>
    <row r="12" ht="150" customHeight="1" s="49">
      <c r="A12" s="162" t="inlineStr">
        <is>
          <t>7</t>
        </is>
      </c>
      <c r="B12" s="157" t="inlineStr">
        <is>
          <t>A</t>
        </is>
      </c>
      <c r="C12" s="163" t="inlineStr">
        <is>
          <t>Mahadewi (JELIKU)</t>
        </is>
      </c>
      <c r="D12" s="162" t="inlineStr">
        <is>
          <t>Penerapan Algoritma Slope One dalam Collaborative Filtering (a body care recommender)</t>
        </is>
      </c>
      <c r="E12" s="162" t="inlineStr">
        <is>
          <t>I. A. Mahadewi et al.</t>
        </is>
      </c>
      <c r="F12" s="162" t="inlineStr">
        <is>
          <t>2024</t>
        </is>
      </c>
      <c r="G12" s="162" t="n"/>
      <c r="H12" s="162" t="inlineStr">
        <is>
          <t>JELIKU, Universitas Udayana, Indonesia</t>
        </is>
      </c>
      <c r="I12" s="162" t="inlineStr">
        <is>
          <t>Small regional journal</t>
        </is>
      </c>
      <c r="J12" s="162" t="inlineStr">
        <is>
          <t>0</t>
        </is>
      </c>
      <c r="K12" s="162" t="inlineStr">
        <is>
          <t>Universitas Udayana, Indonesia</t>
        </is>
      </c>
      <c r="L12" s="162" t="inlineStr">
        <is>
          <t>consensus.app/papers/details/a7956ce9d21f5d6b806688eb6cec7cb8</t>
        </is>
      </c>
      <c r="M12" s="162" t="inlineStr">
        <is>
          <t>Body care info online is often wrong or irrelevant. Put the knowledge in an ontology and recommend on top of it.</t>
        </is>
      </c>
      <c r="N12" s="162" t="inlineStr">
        <is>
          <t>Indonesian body care buyers</t>
        </is>
      </c>
      <c r="O12" s="162" t="inlineStr">
        <is>
          <t>Body care product data mapped into an ontology</t>
        </is>
      </c>
      <c r="P12" s="162" t="inlineStr">
        <is>
          <t>They never say</t>
        </is>
      </c>
      <c r="Q12" s="162" t="inlineStr">
        <is>
          <t>YES, METHONTOLOGY for the ontology, Prototyping for the system</t>
        </is>
      </c>
      <c r="R12" s="162" t="inlineStr">
        <is>
          <t>They never say</t>
        </is>
      </c>
      <c r="S12" s="162" t="inlineStr">
        <is>
          <t>They never say</t>
        </is>
      </c>
      <c r="T12" s="162" t="inlineStr">
        <is>
          <t>Abstract doesn't say</t>
        </is>
      </c>
      <c r="U12" s="162" t="inlineStr">
        <is>
          <t>Abstract doesn't say</t>
        </is>
      </c>
      <c r="V12" s="162" t="inlineStr">
        <is>
          <t>None stated</t>
        </is>
      </c>
      <c r="W12" s="162" t="inlineStr">
        <is>
          <t>No</t>
        </is>
      </c>
      <c r="X12" s="162" t="inlineStr">
        <is>
          <t>They never say</t>
        </is>
      </c>
      <c r="Y12" s="162" t="inlineStr">
        <is>
          <t>Slope One, a collaborative filtering algorithm that predicts your rating from the average difference between items. SUS and MAE for evaluation</t>
        </is>
      </c>
      <c r="Z12" s="162" t="inlineStr">
        <is>
          <t>Collaborative filtering over the ontology knowledge base</t>
        </is>
      </c>
      <c r="AA12" s="162" t="inlineStr">
        <is>
          <t>Two named instruments: SUS (System Usability Scale, a standard 10-question survey out of 100) and MAE (Mean Absolute Error, how far predicted ratings are from real ones)</t>
        </is>
      </c>
      <c r="AB12" s="162" t="inlineStr">
        <is>
          <t>SUS 82.344, which counts as good. MAE 0.3556, closer to zero is better. Reasonable for what it claims, and two named instruments is more than most papers here manage</t>
        </is>
      </c>
      <c r="AC12" s="162" t="inlineStr">
        <is>
          <t>Take: SUS. Standard, free, ten questions. If we ever build an interface this is how we measure it. And the habit of naming your instruments, since the Rahayu review found nobody does.
Leave: Slope One and collaborative filtering. We have no user ratings.
They can't: no regulator, no provenance, no availability. And an MAE on ratings says nothing about whether the advice was medically sensible.
My idea: none.</t>
        </is>
      </c>
    </row>
    <row r="13" ht="26" customHeight="1" s="49">
      <c r="A13" s="160" t="inlineStr">
        <is>
          <t xml:space="preserve">  GROUP B   INGREDIENTS, REGULATION AND SKIN CONDITIONS     Not recommenders. They give our ingredients and concerns a legal or medical standing nobody else has.</t>
        </is>
      </c>
      <c r="B13" s="161" t="n"/>
      <c r="C13" s="161" t="n"/>
      <c r="D13" s="161" t="n"/>
      <c r="E13" s="161" t="n"/>
      <c r="F13" s="161" t="n"/>
      <c r="G13" s="161" t="n"/>
      <c r="H13" s="161" t="n"/>
      <c r="I13" s="161" t="n"/>
      <c r="J13" s="161" t="n"/>
      <c r="K13" s="161" t="n"/>
      <c r="L13" s="161" t="n"/>
      <c r="M13" s="161" t="n"/>
      <c r="N13" s="161" t="n"/>
      <c r="O13" s="161" t="n"/>
      <c r="P13" s="161" t="n"/>
      <c r="Q13" s="161" t="n"/>
      <c r="R13" s="161" t="n"/>
      <c r="S13" s="161" t="n"/>
      <c r="T13" s="161" t="n"/>
      <c r="U13" s="161" t="n"/>
      <c r="V13" s="161" t="n"/>
      <c r="W13" s="161" t="n"/>
      <c r="X13" s="161" t="n"/>
      <c r="Y13" s="161" t="n"/>
      <c r="Z13" s="161" t="n"/>
      <c r="AA13" s="161" t="n"/>
      <c r="AB13" s="161" t="n"/>
      <c r="AC13" s="161" t="n"/>
    </row>
    <row r="14" ht="150" customHeight="1" s="49">
      <c r="A14" s="162" t="inlineStr">
        <is>
          <t>8</t>
        </is>
      </c>
      <c r="B14" s="157" t="inlineStr">
        <is>
          <t>B</t>
        </is>
      </c>
      <c r="C14" s="163" t="inlineStr">
        <is>
          <t>TOXIN KG</t>
        </is>
      </c>
      <c r="D14" s="162" t="inlineStr">
        <is>
          <t>The TOXIN knowledge graph: supporting animal-free risk assessment of cosmetics</t>
        </is>
      </c>
      <c r="E14" s="162" t="inlineStr">
        <is>
          <t>S. Sepehri et al.</t>
        </is>
      </c>
      <c r="F14" s="162" t="inlineStr">
        <is>
          <t>2025</t>
        </is>
      </c>
      <c r="G14" s="162" t="n"/>
      <c r="H14" s="162" t="inlineStr">
        <is>
          <t>Database: The Journal of Biological Databases and Curation, Oxford University Press</t>
        </is>
      </c>
      <c r="I14" s="162" t="inlineStr">
        <is>
          <t>STRONG. Oxford, peer reviewed, open access. Better than every skincare paper in group A</t>
        </is>
      </c>
      <c r="J14" s="162" t="inlineStr">
        <is>
          <t>4</t>
        </is>
      </c>
      <c r="K14" s="162" t="inlineStr">
        <is>
          <t>Vrije Universiteit Brussel, Belgium</t>
        </is>
      </c>
      <c r="L14" s="162" t="inlineStr">
        <is>
          <t>doi.org/10.1093/database/baae121  |  live at toxin-search.netlify.app</t>
        </is>
      </c>
      <c r="M14" s="162" t="inlineStr">
        <is>
          <t>The EU banned animal testing for cosmetics but there is no validated replacement. Make the old safety data reusable so risk can be judged without animals.</t>
        </is>
      </c>
      <c r="N14" s="162" t="inlineStr">
        <is>
          <t>Toxicologists and risk assessors</t>
        </is>
      </c>
      <c r="O14" s="162" t="inlineStr">
        <is>
          <t>Safety data on annexed cosmetic ingredients from SCCS scientific opinions 2009 to 2019. Same committee that writes the CosIng annexes we use</t>
        </is>
      </c>
      <c r="P14" s="162" t="inlineStr">
        <is>
          <t>88 ingredients, 53 of them with liver effects</t>
        </is>
      </c>
      <c r="Q14" s="162" t="inlineStr">
        <is>
          <t>Not named as a method, but the process is carefully documented</t>
        </is>
      </c>
      <c r="R14" s="162" t="inlineStr">
        <is>
          <t>Inherited from TXPO</t>
        </is>
      </c>
      <c r="S14" s="162" t="inlineStr">
        <is>
          <t>Inherited from TXPO</t>
        </is>
      </c>
      <c r="T14" s="162" t="inlineStr">
        <is>
          <t>Reuses TXPO, the ToXic Process Ontology, from the OBO Foundry. TXPO itself pulls in Gene Ontology, ChEBI, Disease Ontology and others</t>
        </is>
      </c>
      <c r="U14" s="162" t="inlineStr">
        <is>
          <t>Not detailed. SMILES notation added so every chemical has one standard identity</t>
        </is>
      </c>
      <c r="V14" s="162" t="inlineStr">
        <is>
          <t>ToxRTool scores how reliable each study is automatically</t>
        </is>
      </c>
      <c r="W14" s="162" t="inlineStr">
        <is>
          <t>YES. Live and searchable at toxin-search.netlify.app</t>
        </is>
      </c>
      <c r="X14" s="162" t="inlineStr">
        <is>
          <t>CURATED EXCEL TO RDF USING R2RML. Toxicologists type into spreadsheets, computer scientists have read-only access and generate the graph. The most useful sentence in the paper for us</t>
        </is>
      </c>
      <c r="Y14" s="162" t="inlineStr">
        <is>
          <t>R2RML to turn spreadsheets into triples. TXPO as the ontology. NAMED GRAPHS, one box per data source, so you always know where a fact came from. Links out to KEGG, Reactome, UniProt by IRI instead of copying. Ontodia to draw it</t>
        </is>
      </c>
      <c r="Z14" s="162" t="inlineStr">
        <is>
          <t>Not a recommender. You filter for ingredients linked to liver toxicity and follow the chain to the harm</t>
        </is>
      </c>
      <c r="AA14" s="162" t="inlineStr">
        <is>
          <t>Use cases showing retrieval works</t>
        </is>
      </c>
      <c r="AB14" s="162" t="inlineStr">
        <is>
          <t>88 ingredients loaded, 53 flagged. Claims to be a retrieval tool and demonstrates retrieval. No overreach</t>
        </is>
      </c>
      <c r="AC14" s="162" t="inlineStr">
        <is>
          <t>Take: THREE THINGS that change our plan. R2RML/RML for loading data, a mapping file not a script. Named graphs per source, which is our evidence-level idea at the storage layer. Linking out by IRI rather than copying.
Leave: the toxicology depth, liver mechanisms, gene pathways.
They can't: IT HAS NO PRODUCTS. All the law, nothing on a shelf. Every skincare ontology has products and no law. Nobody has both. That is exactly where we sit.
My idea: they model the evidence BEHIND a restriction. We only model the restriction as a pointer like Annex V/29. One owl:sameAs per ingredient and a product on a Beirut shelf traces all the way to the SCCS opinion that limits phenoxyethanol to 1%.</t>
        </is>
      </c>
    </row>
    <row r="15" ht="150" customHeight="1" s="49">
      <c r="A15" s="162" t="inlineStr">
        <is>
          <t>9</t>
        </is>
      </c>
      <c r="B15" s="157" t="inlineStr">
        <is>
          <t>B</t>
        </is>
      </c>
      <c r="C15" s="163" t="inlineStr">
        <is>
          <t>HaCKG</t>
        </is>
      </c>
      <c r="D15" s="162" t="inlineStr">
        <is>
          <t>Halal or Not: Knowledge Graph Completion for Predicting Cultural Appropriateness of Daily Products</t>
        </is>
      </c>
      <c r="E15" s="162" t="inlineStr">
        <is>
          <t>Van Thuy Hoang et al.</t>
        </is>
      </c>
      <c r="F15" s="162" t="inlineStr">
        <is>
          <t>2025</t>
        </is>
      </c>
      <c r="G15" s="162" t="n"/>
      <c r="H15" s="162" t="inlineStr">
        <is>
          <t>IEEE Access</t>
        </is>
      </c>
      <c r="I15" s="162" t="inlineStr">
        <is>
          <t>Indexed, respectable. This one trims one of my ideas, so I raise it myself</t>
        </is>
      </c>
      <c r="J15" s="162" t="inlineStr">
        <is>
          <t>8</t>
        </is>
      </c>
      <c r="K15" s="162" t="inlineStr">
        <is>
          <t>South Korea</t>
        </is>
      </c>
      <c r="L15" s="162" t="inlineStr">
        <is>
          <t>consensus.app/papers/details/033951ebc555534aac4c54bad403585a</t>
        </is>
      </c>
      <c r="M15" s="162" t="inlineStr">
        <is>
          <t>Halal prediction looks at ingredients one at a time and misses the relationships between products and ingredients.</t>
        </is>
      </c>
      <c r="N15" s="162" t="inlineStr">
        <is>
          <t>Muslim consumers, retailers in Muslim-majority markets</t>
        </is>
      </c>
      <c r="O15" s="162" t="inlineStr">
        <is>
          <t>A cosmetics dataset of products, ingredients and properties</t>
        </is>
      </c>
      <c r="P15" s="162" t="inlineStr">
        <is>
          <t>Abstract doesn't say</t>
        </is>
      </c>
      <c r="Q15" s="162" t="inlineStr">
        <is>
          <t>No. It is a machine learning paper that happens to build a graph</t>
        </is>
      </c>
      <c r="R15" s="162" t="inlineStr">
        <is>
          <t>Abstract doesn't say</t>
        </is>
      </c>
      <c r="S15" s="162" t="inlineStr">
        <is>
          <t>Abstract doesn't say</t>
        </is>
      </c>
      <c r="T15" s="162" t="inlineStr">
        <is>
          <t>Cosmetics, ingredients and their properties as graph entities</t>
        </is>
      </c>
      <c r="U15" s="162" t="inlineStr">
        <is>
          <t>Abstract doesn't say</t>
        </is>
      </c>
      <c r="V15" s="162" t="inlineStr">
        <is>
          <t>None. The learning is in the network, not in rules</t>
        </is>
      </c>
      <c r="W15" s="162" t="inlineStr">
        <is>
          <t>Not stated</t>
        </is>
      </c>
      <c r="X15" s="162" t="inlineStr">
        <is>
          <t>Abstract doesn't say</t>
        </is>
      </c>
      <c r="Y15" s="162" t="inlineStr">
        <is>
          <t>A relational graph attention network with residual connections: a neural net that learns by passing messages between connected nodes and paying attention to what kind of link each edge is. Pre-trained on the graph, fine-tuned to predict halal</t>
        </is>
      </c>
      <c r="Z15" s="162" t="inlineStr">
        <is>
          <t>The network embeds the graph and predicts halal status. A probability, no reason</t>
        </is>
      </c>
      <c r="AA15" s="162" t="inlineStr">
        <is>
          <t>Benchmarks against state-of-the-art baselines</t>
        </is>
      </c>
      <c r="AB15" s="162" t="inlineStr">
        <is>
          <t>Reported as beating the baselines, figures not in the abstract. Sound for an ML paper, but it is prediction with no reasoning and no cited authority</t>
        </is>
      </c>
      <c r="AC15" s="162" t="inlineStr">
        <is>
          <t>Take: their own argument helps us. They say one-ingredient-at-a-time misses the relationships between products and ingredients. That is an argument FOR a graph, made by somebody else. Also proves a cosmetics KG is publishable.
Leave: the neural network. No interaction data, and our contribution is the resource.
They can't: give a reason. They PREDICT with a model. We would DERIVE from the INCI list and cite it. But be honest: this weakens our halal idea, it is not new anymore.
My idea: use them as an evaluation target. Where our derivation and their prediction agree, mutual validation. Where they disagree, that set is a result.</t>
        </is>
      </c>
    </row>
    <row r="16" ht="150" customHeight="1" s="49">
      <c r="A16" s="162" t="inlineStr">
        <is>
          <t>10</t>
        </is>
      </c>
      <c r="B16" s="157" t="inlineStr">
        <is>
          <t>B</t>
        </is>
      </c>
      <c r="C16" s="163" t="inlineStr">
        <is>
          <t>CosIng-KG</t>
        </is>
      </c>
      <c r="D16" s="162" t="inlineStr">
        <is>
          <t>cosing-kg: the EU CosIng database converted to RDF</t>
        </is>
      </c>
      <c r="E16" s="162" t="inlineStr">
        <is>
          <t>biobricks-ai (a GitHub project, not a paper)</t>
        </is>
      </c>
      <c r="F16" s="162" t="inlineStr">
        <is>
          <t>n/a</t>
        </is>
      </c>
      <c r="G16" s="162" t="n"/>
      <c r="H16" s="162" t="inlineStr">
        <is>
          <t>GitHub, serving kg.toxindex.com</t>
        </is>
      </c>
      <c r="I16" s="162" t="inlineStr">
        <is>
          <t>Not a paper. An artefact. CHECK FIRST, could save weeks</t>
        </is>
      </c>
      <c r="J16" s="162" t="inlineStr">
        <is>
          <t>Doesn't apply</t>
        </is>
      </c>
      <c r="K16" s="162" t="inlineStr">
        <is>
          <t>biobricks-ai</t>
        </is>
      </c>
      <c r="L16" s="162" t="inlineStr">
        <is>
          <t>github.com/biobricks-ai/cosing-kg</t>
        </is>
      </c>
      <c r="M16" s="162" t="inlineStr">
        <is>
          <t>Make the EU CosIng register available as a proper graph.</t>
        </is>
      </c>
      <c r="N16" s="162" t="inlineStr">
        <is>
          <t>Anyone building on cosmetic ingredient regulation</t>
        </is>
      </c>
      <c r="O16" s="162" t="inlineStr">
        <is>
          <t>CosIng itself, the same register we already use</t>
        </is>
      </c>
      <c r="P16" s="162" t="inlineStr">
        <is>
          <t>All 28,573 CosIng entries, if complete</t>
        </is>
      </c>
      <c r="Q16" s="162" t="inlineStr">
        <is>
          <t>Doesn't apply</t>
        </is>
      </c>
      <c r="R16" s="162" t="inlineStr">
        <is>
          <t>Doesn't apply</t>
        </is>
      </c>
      <c r="S16" s="162" t="inlineStr">
        <is>
          <t>Doesn't apply</t>
        </is>
      </c>
      <c r="T16" s="162" t="inlineStr">
        <is>
          <t>Whatever CosIng's structure maps to</t>
        </is>
      </c>
      <c r="U16" s="162" t="inlineStr">
        <is>
          <t>Haven't looked properly yet</t>
        </is>
      </c>
      <c r="V16" s="162" t="inlineStr">
        <is>
          <t>None</t>
        </is>
      </c>
      <c r="W16" s="162" t="inlineStr">
        <is>
          <t>YES, on GitHub. Haven't checked licence or identifiers yet</t>
        </is>
      </c>
      <c r="X16" s="162" t="inlineStr">
        <is>
          <t>Converted from the CosIng release</t>
        </is>
      </c>
      <c r="Y16" s="162" t="inlineStr">
        <is>
          <t>Haven't looked yet</t>
        </is>
      </c>
      <c r="Z16" s="162" t="inlineStr">
        <is>
          <t>Doesn't apply</t>
        </is>
      </c>
      <c r="AA16" s="162" t="inlineStr">
        <is>
          <t>Doesn't apply</t>
        </is>
      </c>
      <c r="AB16" s="162" t="inlineStr">
        <is>
          <t>Doesn't apply</t>
        </is>
      </c>
      <c r="AC16" s="162" t="inlineStr">
        <is>
          <t>Take: POSSIBLY OUR ENTIRE INGREDIENT LAYER, free and citable. If usable, our products link straight to their ingredient IRIs.
Leave: nothing yet.
They can't: if it is NOT usable that is also fine, our own conversion becomes a stated contribution instead of an assumption.
My idea: this is the highest-value half hour available right now. Do it before writing any Turtle.</t>
        </is>
      </c>
    </row>
    <row r="17" ht="150" customHeight="1" s="49">
      <c r="A17" s="162" t="inlineStr">
        <is>
          <t>11</t>
        </is>
      </c>
      <c r="B17" s="157" t="inlineStr">
        <is>
          <t>B</t>
        </is>
      </c>
      <c r="C17" s="163" t="inlineStr">
        <is>
          <t>CCIBP</t>
        </is>
      </c>
      <c r="D17" s="162" t="inlineStr">
        <is>
          <t>CCIBP: a comprehensive cosmetic ingredients bioinformatics platform</t>
        </is>
      </c>
      <c r="E17" s="162" t="inlineStr">
        <is>
          <t>Linlin Gong et al.</t>
        </is>
      </c>
      <c r="F17" s="162" t="inlineStr">
        <is>
          <t>2023</t>
        </is>
      </c>
      <c r="G17" s="162" t="n"/>
      <c r="H17" s="162" t="inlineStr">
        <is>
          <t>Bioinformatics, Oxford University Press</t>
        </is>
      </c>
      <c r="I17" s="162" t="inlineStr">
        <is>
          <t>STRONG journal. A resource paper precedent</t>
        </is>
      </c>
      <c r="J17" s="162" t="inlineStr">
        <is>
          <t>2</t>
        </is>
      </c>
      <c r="K17" s="162" t="inlineStr">
        <is>
          <t>China</t>
        </is>
      </c>
      <c r="L17" s="162" t="inlineStr">
        <is>
          <t>design.rxnfinder.org/cosing</t>
        </is>
      </c>
      <c r="M17" s="162" t="inlineStr">
        <is>
          <t>One place for the physical properties, metabolic pathways, toxicology and safe concentrations of cosmetic molecules.</t>
        </is>
      </c>
      <c r="N17" s="162" t="inlineStr">
        <is>
          <t>Cosmetic researchers and formulators</t>
        </is>
      </c>
      <c r="O17" s="162" t="inlineStr">
        <is>
          <t>Regulations from major world regions (not only EU), physicochemical properties, human metabolic pathways, plant data for natural ingredients</t>
        </is>
      </c>
      <c r="P17" s="162" t="inlineStr">
        <is>
          <t>Abstract doesn't say</t>
        </is>
      </c>
      <c r="Q17" s="162" t="inlineStr">
        <is>
          <t>None stated. It is a database, not an ontology</t>
        </is>
      </c>
      <c r="R17" s="162" t="inlineStr">
        <is>
          <t>Doesn't apply</t>
        </is>
      </c>
      <c r="S17" s="162" t="inlineStr">
        <is>
          <t>Doesn't apply</t>
        </is>
      </c>
      <c r="T17" s="162" t="inlineStr">
        <is>
          <t>Doesn't apply</t>
        </is>
      </c>
      <c r="U17" s="162" t="inlineStr">
        <is>
          <t>Doesn't apply</t>
        </is>
      </c>
      <c r="V17" s="162" t="inlineStr">
        <is>
          <t>None</t>
        </is>
      </c>
      <c r="W17" s="162" t="inlineStr">
        <is>
          <t>YES, publicly available at the URL</t>
        </is>
      </c>
      <c r="X17" s="162" t="inlineStr">
        <is>
          <t>Curated from regulatory and chemical sources</t>
        </is>
      </c>
      <c r="Y17" s="162" t="inlineStr">
        <is>
          <t>Chemoinformatics and bioinformatics tooling</t>
        </is>
      </c>
      <c r="Z17" s="162" t="inlineStr">
        <is>
          <t>Not a recommender. Supports formulation and efficacy analysis</t>
        </is>
      </c>
      <c r="AA17" s="162" t="inlineStr">
        <is>
          <t>Presented as a resource, shown through use</t>
        </is>
      </c>
      <c r="AB17" s="162" t="inlineStr">
        <is>
          <t>No numbers in the abstract. It claims to be a platform and it is one</t>
        </is>
      </c>
      <c r="AC17" s="162" t="inlineStr">
        <is>
          <t>Take: possibly a SECOND ingredient source, since it covers non-EU regulation. Thirty minutes in step 2 to see if it adds anything CosIng doesn't. Also a resource paper in a strong journal, which backs our argument that building a resource counts.
Leave: the synthetic biology material.
They can't: ingredients and no products, same shape as TOXIN.
My idea: if Lebanon follows anything non-European for some ingredient classes, this is where it lives.</t>
        </is>
      </c>
    </row>
    <row r="18" ht="150" customHeight="1" s="49">
      <c r="A18" s="162" t="inlineStr">
        <is>
          <t>12</t>
        </is>
      </c>
      <c r="B18" s="157" t="inlineStr">
        <is>
          <t>B</t>
        </is>
      </c>
      <c r="C18" s="163" t="inlineStr">
        <is>
          <t>DermO</t>
        </is>
      </c>
      <c r="D18" s="162" t="inlineStr">
        <is>
          <t>DermO: an ontology for the description of dermatologic disease</t>
        </is>
      </c>
      <c r="E18" s="162" t="inlineStr">
        <is>
          <t>University of Birmingham group</t>
        </is>
      </c>
      <c r="F18" s="162" t="inlineStr">
        <is>
          <t>2016</t>
        </is>
      </c>
      <c r="G18" s="162" t="n"/>
      <c r="H18" s="162" t="inlineStr">
        <is>
          <t>Journal of Biomedical Semantics</t>
        </is>
      </c>
      <c r="I18" s="162" t="inlineStr">
        <is>
          <t>Solid specialist journal. The ontology is properly published</t>
        </is>
      </c>
      <c r="J18" s="162" t="inlineStr">
        <is>
          <t>They never say</t>
        </is>
      </c>
      <c r="K18" s="162" t="inlineStr">
        <is>
          <t>University of Birmingham, UK</t>
        </is>
      </c>
      <c r="L18" s="162" t="inlineStr">
        <is>
          <t>bioportal.bioontology.org/ontologies/DERMO</t>
        </is>
      </c>
      <c r="M18" s="162" t="inlineStr">
        <is>
          <t>Skin diseases had no formal, shareable vocabulary. Build one by hand with dermatologists.</t>
        </is>
      </c>
      <c r="N18" s="162" t="inlineStr">
        <is>
          <t>Clinicians and medical informatics people</t>
        </is>
      </c>
      <c r="O18" s="162" t="inlineStr">
        <is>
          <t>Expert-written terms. No scraping, no learning</t>
        </is>
      </c>
      <c r="P18" s="162" t="inlineStr">
        <is>
          <t>Over 3,000 terms in 20 top-level categories</t>
        </is>
      </c>
      <c r="Q18" s="162" t="inlineStr">
        <is>
          <t>Biomedical ontology conventions, aligned to ICD-10 (the WHO disease list every hospital uses)</t>
        </is>
      </c>
      <c r="R18" s="162" t="inlineStr">
        <is>
          <t>3,000+ terms</t>
        </is>
      </c>
      <c r="S18" s="162" t="inlineStr">
        <is>
          <t>They never say</t>
        </is>
      </c>
      <c r="T18" s="162" t="inlineStr">
        <is>
          <t>Diseases filed by: where on the body, whether inherited, what tissue is affected, what causes it</t>
        </is>
      </c>
      <c r="U18" s="162" t="inlineStr">
        <is>
          <t>Not inspected in detail</t>
        </is>
      </c>
      <c r="V18" s="162" t="inlineStr">
        <is>
          <t>Doesn't apply</t>
        </is>
      </c>
      <c r="W18" s="162" t="inlineStr">
        <is>
          <t>YES. GitHub plus BioPortal, in OBO and OWL 2 formats, free</t>
        </is>
      </c>
      <c r="X18" s="162" t="inlineStr">
        <is>
          <t>By hand, by domain experts</t>
        </is>
      </c>
      <c r="Y18" s="162" t="inlineStr">
        <is>
          <t>OBO tooling, Protege</t>
        </is>
      </c>
      <c r="Z18" s="162" t="inlineStr">
        <is>
          <t>Not a recommender. A vocabulary</t>
        </is>
      </c>
      <c r="AA18" s="162" t="inlineStr">
        <is>
          <t>Expert review and cross-ontology mapping</t>
        </is>
      </c>
      <c r="AB18" s="162" t="inlineStr">
        <is>
          <t>3,000+ terms, 20 categories. Yes for a vocabulary</t>
        </is>
      </c>
      <c r="AC18" s="162" t="inlineStr">
        <is>
          <t>Take: OUR CONCERNS COLUMN. It has six values and every one names a real disease: eczema on 6,901 products, rosacea 5,871, acne 4,261. We are already making medical statements and no clinician has checked them. Six lines of alignment to DermO gives our vocabulary clinical standing.
Leave: the disease depth. We are not diagnosing.
They can't: no products. But this one is a gift, not a competitor. It fixes the weakness in Hansanie &amp; Silva's row: they had dermatologists, we did not. We cannot get one quickly, but we can align to one they built.
My idea: DermO knows WHERE on the body a disease sits. Our types imply a body site: 637 eye products, 550 lip, 676 body, 62 hand. Link them and we can say 'you have nothing for your eye area'. Nobody in cosmetics connects product to body site through a clinical ontology.</t>
        </is>
      </c>
    </row>
    <row r="19" ht="150" customHeight="1" s="49">
      <c r="A19" s="162" t="inlineStr">
        <is>
          <t>13</t>
        </is>
      </c>
      <c r="B19" s="157" t="inlineStr">
        <is>
          <t>B</t>
        </is>
      </c>
      <c r="C19" s="163" t="inlineStr">
        <is>
          <t>Halal flavouring ontology</t>
        </is>
      </c>
      <c r="D19" s="162" t="inlineStr">
        <is>
          <t>Development of Flavouring Ontology for Recommending the Halal Status of Flavours</t>
        </is>
      </c>
      <c r="E19" s="162" t="inlineStr">
        <is>
          <t>Malaysian group with JAKIM experts</t>
        </is>
      </c>
      <c r="F19" s="162" t="inlineStr">
        <is>
          <t>2024</t>
        </is>
      </c>
      <c r="G19" s="162" t="n"/>
      <c r="H19" s="162" t="inlineStr">
        <is>
          <t>Journal of Information Science Theory and Practice, 12(2)</t>
        </is>
      </c>
      <c r="I19" s="162" t="inlineStr">
        <is>
          <t>Modest but peer reviewed. A pattern donor, not a competitor</t>
        </is>
      </c>
      <c r="J19" s="162" t="inlineStr">
        <is>
          <t>They never say</t>
        </is>
      </c>
      <c r="K19" s="162" t="inlineStr">
        <is>
          <t>Malaysia</t>
        </is>
      </c>
      <c r="L19" s="162" t="inlineStr">
        <is>
          <t>accesson.kr/jistap/v.12/2/22/42865</t>
        </is>
      </c>
      <c r="M19" s="162" t="inlineStr">
        <is>
          <t>Trace whether a flavour ingredient is halal so a manufacturer can predict the product's status.</t>
        </is>
      </c>
      <c r="N19" s="162" t="inlineStr">
        <is>
          <t>Food makers and halal certifiers</t>
        </is>
      </c>
      <c r="O19" s="162" t="inlineStr">
        <is>
          <t>Flavour ingredients and certification references, with experts from JAKIM (Malaysia's Department of Islamic Development)</t>
        </is>
      </c>
      <c r="P19" s="162" t="inlineStr">
        <is>
          <t>They never say</t>
        </is>
      </c>
      <c r="Q19" s="162" t="inlineStr">
        <is>
          <t>Not named</t>
        </is>
      </c>
      <c r="R19" s="162" t="inlineStr">
        <is>
          <t>They never say</t>
        </is>
      </c>
      <c r="S19" s="162" t="inlineStr">
        <is>
          <t>They never say</t>
        </is>
      </c>
      <c r="T19" s="162" t="inlineStr">
        <is>
          <t>Halal certification process, halal concept, reference sources, traceability</t>
        </is>
      </c>
      <c r="U19" s="162" t="inlineStr">
        <is>
          <t>Abstract doesn't say</t>
        </is>
      </c>
      <c r="V19" s="162" t="inlineStr">
        <is>
          <t>Not stated</t>
        </is>
      </c>
      <c r="W19" s="162" t="inlineStr">
        <is>
          <t>Not stated</t>
        </is>
      </c>
      <c r="X19" s="162" t="inlineStr">
        <is>
          <t>Not stated</t>
        </is>
      </c>
      <c r="Y19" s="162" t="inlineStr">
        <is>
          <t>Not stated</t>
        </is>
      </c>
      <c r="Z19" s="162" t="inlineStr">
        <is>
          <t>Status is inherited: a product's halal status follows from its ingredients' statuses, according to a named authority</t>
        </is>
      </c>
      <c r="AA19" s="162" t="inlineStr">
        <is>
          <t>Expert consultation with the certifying body</t>
        </is>
      </c>
      <c r="AB19" s="162" t="inlineStr">
        <is>
          <t>No numbers. Fine for a conceptual framework</t>
        </is>
      </c>
      <c r="AC19" s="162" t="inlineStr">
        <is>
          <t>Take: THE THREE-PART PATTERN: ingredient, AUTHORITY, status, with the authority as its own thing rather than an attribute. Swap halal for EU annex restriction and it is our problem exactly.
Leave: the food specifics.
They can't: nothing to attack, it is a pattern.
My idea: because the authority is separate, we can say Phenoxyethanol is restricted under Annex V/29 ACCORDING TO the European Commission, and leave room for a Lebanese authority later. That one choice future-proofs the whole regulatory layer.</t>
        </is>
      </c>
    </row>
    <row r="20" ht="150" customHeight="1" s="49">
      <c r="A20" s="162" t="inlineStr">
        <is>
          <t>14</t>
        </is>
      </c>
      <c r="B20" s="157" t="inlineStr">
        <is>
          <t>B</t>
        </is>
      </c>
      <c r="C20" s="163" t="inlineStr">
        <is>
          <t>Klaschka</t>
        </is>
      </c>
      <c r="D20" s="162" t="inlineStr">
        <is>
          <t>Naturally toxic: natural substances used in personal care products</t>
        </is>
      </c>
      <c r="E20" s="162" t="inlineStr">
        <is>
          <t>Ursula Klaschka</t>
        </is>
      </c>
      <c r="F20" s="162" t="inlineStr">
        <is>
          <t>2015</t>
        </is>
      </c>
      <c r="G20" s="162" t="n"/>
      <c r="H20" s="162" t="inlineStr">
        <is>
          <t>Environmental Sciences Europe</t>
        </is>
      </c>
      <c r="I20" s="162" t="inlineStr">
        <is>
          <t>Good journal, heavily cited. Not an ontology, but gives us a free finding</t>
        </is>
      </c>
      <c r="J20" s="162" t="inlineStr">
        <is>
          <t>107</t>
        </is>
      </c>
      <c r="K20" s="162" t="inlineStr">
        <is>
          <t>Ulm University, Germany</t>
        </is>
      </c>
      <c r="L20" s="162" t="inlineStr">
        <is>
          <t>consensus.app/papers/details/c46f8b2f2d295088a0e529d31143952c</t>
        </is>
      </c>
      <c r="M20" s="162" t="inlineStr">
        <is>
          <t>Which natural substances in personal care products are actually hazardous, and how does EU law treat them?</t>
        </is>
      </c>
      <c r="N20" s="162" t="inlineStr">
        <is>
          <t>Regulators, and anyone who thinks natural means safe</t>
        </is>
      </c>
      <c r="O20" s="162" t="inlineStr">
        <is>
          <t>The INCI list and the EU classification and labelling inventory</t>
        </is>
      </c>
      <c r="P20" s="162" t="inlineStr">
        <is>
          <t>1,358 natural substances in INCI, 655 of them in the EU inventory</t>
        </is>
      </c>
      <c r="Q20" s="162" t="inlineStr">
        <is>
          <t>Doesn't apply</t>
        </is>
      </c>
      <c r="R20" s="162" t="inlineStr">
        <is>
          <t>Doesn't apply</t>
        </is>
      </c>
      <c r="S20" s="162" t="inlineStr">
        <is>
          <t>Doesn't apply</t>
        </is>
      </c>
      <c r="T20" s="162" t="inlineStr">
        <is>
          <t>Doesn't apply</t>
        </is>
      </c>
      <c r="U20" s="162" t="inlineStr">
        <is>
          <t>Doesn't apply</t>
        </is>
      </c>
      <c r="V20" s="162" t="inlineStr">
        <is>
          <t>Doesn't apply</t>
        </is>
      </c>
      <c r="W20" s="162" t="inlineStr">
        <is>
          <t>The registers are public</t>
        </is>
      </c>
      <c r="X20" s="162" t="inlineStr">
        <is>
          <t>Doesn't apply</t>
        </is>
      </c>
      <c r="Y20" s="162" t="inlineStr">
        <is>
          <t>REACH and CLP regulatory instruments</t>
        </is>
      </c>
      <c r="Z20" s="162" t="inlineStr">
        <is>
          <t>Doesn't apply</t>
        </is>
      </c>
      <c r="AA20" s="162" t="inlineStr">
        <is>
          <t>Regulatory analysis, counting classifications</t>
        </is>
      </c>
      <c r="AB20" s="162" t="inlineStr">
        <is>
          <t>Of the 655: 56% classified hazardous, 38% for human health, 35% for skin and eyes, and 53 substances classified carcinogenic, mutagenic or toxic to reproduction. Holds up, and flags inconsistencies in the classifications too</t>
        </is>
      </c>
      <c r="AC20" s="162" t="inlineStr">
        <is>
          <t>Take: peer reviewed proof, 107 citations, that NATURAL DOES NOT MEAN SAFE. That arms our free_from column and every 'clean' claim in our descriptions.
Leave: the environmental detail.
They can't: substances only, no products. We have 11,802 formulas AND the marketing claims AND the register.
My idea: a question nobody else can answer: across 12,629 products, do the ones sold as natural actually contain fewer hazardous ingredients? We hold all three pieces already. No new data. That is why the plan has a NaturalClaimProduct class.</t>
        </is>
      </c>
    </row>
    <row r="21" ht="150" customHeight="1" s="49">
      <c r="A21" s="162" t="inlineStr">
        <is>
          <t>15</t>
        </is>
      </c>
      <c r="B21" s="157" t="inlineStr">
        <is>
          <t>B</t>
        </is>
      </c>
      <c r="C21" s="163" t="inlineStr">
        <is>
          <t>MVFM</t>
        </is>
      </c>
      <c r="D21" s="162" t="inlineStr">
        <is>
          <t>Predictive Analysis of Cosmetic Formulations: A Multi-Vector INCI Mapping Methodology</t>
        </is>
      </c>
      <c r="E21" s="162" t="inlineStr">
        <is>
          <t>Rusana Plonsak</t>
        </is>
      </c>
      <c r="F21" s="162" t="inlineStr">
        <is>
          <t>2026</t>
        </is>
      </c>
      <c r="G21" s="162" t="n"/>
      <c r="H21" s="162" t="inlineStr">
        <is>
          <t>Journal of Applied Cosmetology</t>
        </is>
      </c>
      <c r="I21" s="162" t="inlineStr">
        <is>
          <t>Small journal, brand new. One idea I need</t>
        </is>
      </c>
      <c r="J21" s="162" t="inlineStr">
        <is>
          <t>0</t>
        </is>
      </c>
      <c r="K21" s="162" t="inlineStr">
        <is>
          <t>They never say</t>
        </is>
      </c>
      <c r="L21" s="162" t="inlineStr">
        <is>
          <t>consensus.app/papers/details/ea07c5e70d905e3694e09206096364f2</t>
        </is>
      </c>
      <c r="M21" s="162" t="inlineStr">
        <is>
          <t>EU law says claims must not mislead, but does not require them to be backed by the composition. A barrier-repair cream need not contain barrier lipids. How do you check from the label alone?</t>
        </is>
      </c>
      <c r="N21" s="162" t="inlineStr">
        <is>
          <t>Practitioners and dermatologists</t>
        </is>
      </c>
      <c r="O21" s="162" t="inlineStr">
        <is>
          <t>INCI lists of commercial products</t>
        </is>
      </c>
      <c r="P21" s="162" t="inlineStr">
        <is>
          <t>Three products, one evaluator</t>
        </is>
      </c>
      <c r="Q21" s="162" t="inlineStr">
        <is>
          <t>Doesn't apply</t>
        </is>
      </c>
      <c r="R21" s="162" t="inlineStr">
        <is>
          <t>Doesn't apply</t>
        </is>
      </c>
      <c r="S21" s="162" t="inlineStr">
        <is>
          <t>Doesn't apply</t>
        </is>
      </c>
      <c r="T21" s="162" t="inlineStr">
        <is>
          <t>Doesn't apply</t>
        </is>
      </c>
      <c r="U21" s="162" t="inlineStr">
        <is>
          <t>Doesn't apply</t>
        </is>
      </c>
      <c r="V21" s="162" t="inlineStr">
        <is>
          <t>Doesn't apply</t>
        </is>
      </c>
      <c r="W21" s="162" t="inlineStr">
        <is>
          <t>The method is in the paper</t>
        </is>
      </c>
      <c r="X21" s="162" t="inlineStr">
        <is>
          <t>Manual scoring</t>
        </is>
      </c>
      <c r="Y21" s="162" t="inlineStr">
        <is>
          <t>None</t>
        </is>
      </c>
      <c r="Z21" s="162" t="inlineStr">
        <is>
          <t>Find the first regulated preservative or fragrance in the INCI list. That is roughly the 1% line, since INCI is in concentration order. Score everything above it on Hydration, Lipid, Structural, 0 to 3 each. Compare to the claim</t>
        </is>
      </c>
      <c r="AA21" s="162" t="inlineStr">
        <is>
          <t>Three products by hand</t>
        </is>
      </c>
      <c r="AB21" s="162" t="inlineStr">
        <is>
          <t>Worked on all three. One product sold as anti-aging scored H=4 L=7 S=6, a lipid-heavy texture cream with two regulated allergens in its active zone. Author says larger validation and inter-rater reliability are still to do</t>
        </is>
      </c>
      <c r="AC21" s="162" t="inlineStr">
        <is>
          <t>Take: INCI POSITION AS A SIGNAL. This is why our ontology must record where each ingredient sits in the list, not just that it is there. Position is the only concentration information a consumer ever gets.
Leave: the manual three-vector scoring, it is subjective.
They can't: three products by hand. We could run it across 11,802 automatically, which is the validation they say is missing.
My idea: their finding is that a claim can be unsupported by the composition. That is our evidence-level argument from the chemistry side. Running it at scale would be the first large test of whether cosmetic claims are compositionally grounded.</t>
        </is>
      </c>
    </row>
    <row r="22" ht="26" customHeight="1" s="49">
      <c r="A22" s="160" t="inlineStr">
        <is>
          <t xml:space="preserve">  GROUP C   ONTOLOGY RECOMMENDERS IN OTHER FIELDS     Food, shopping, academic papers. Nobody solved our problems in skincare, but people solved them here.</t>
        </is>
      </c>
      <c r="B22" s="161" t="n"/>
      <c r="C22" s="161" t="n"/>
      <c r="D22" s="161" t="n"/>
      <c r="E22" s="161" t="n"/>
      <c r="F22" s="161" t="n"/>
      <c r="G22" s="161" t="n"/>
      <c r="H22" s="161" t="n"/>
      <c r="I22" s="161" t="n"/>
      <c r="J22" s="161" t="n"/>
      <c r="K22" s="161" t="n"/>
      <c r="L22" s="161" t="n"/>
      <c r="M22" s="161" t="n"/>
      <c r="N22" s="161" t="n"/>
      <c r="O22" s="161" t="n"/>
      <c r="P22" s="161" t="n"/>
      <c r="Q22" s="161" t="n"/>
      <c r="R22" s="161" t="n"/>
      <c r="S22" s="161" t="n"/>
      <c r="T22" s="161" t="n"/>
      <c r="U22" s="161" t="n"/>
      <c r="V22" s="161" t="n"/>
      <c r="W22" s="161" t="n"/>
      <c r="X22" s="161" t="n"/>
      <c r="Y22" s="161" t="n"/>
      <c r="Z22" s="161" t="n"/>
      <c r="AA22" s="161" t="n"/>
      <c r="AB22" s="161" t="n"/>
      <c r="AC22" s="161" t="n"/>
    </row>
    <row r="23" ht="150" customHeight="1" s="49">
      <c r="A23" s="162" t="inlineStr">
        <is>
          <t>16</t>
        </is>
      </c>
      <c r="B23" s="157" t="inlineStr">
        <is>
          <t>C</t>
        </is>
      </c>
      <c r="C23" s="163" t="inlineStr">
        <is>
          <t>Middleton</t>
        </is>
      </c>
      <c r="D23" s="162" t="inlineStr">
        <is>
          <t>Ontological User Profiling in Recommender Systems</t>
        </is>
      </c>
      <c r="E23" s="162" t="inlineStr">
        <is>
          <t>Stuart Middleton, Nigel Shadbolt, David De Roure</t>
        </is>
      </c>
      <c r="F23" s="162" t="inlineStr">
        <is>
          <t>2004</t>
        </is>
      </c>
      <c r="G23" s="162" t="n"/>
      <c r="H23" s="162" t="inlineStr">
        <is>
          <t>ACM Transactions on Information Systems, 22(1), 54 to 88</t>
        </is>
      </c>
      <c r="I23" s="162" t="inlineStr">
        <is>
          <t>THE BEST VENUE IN THE WHOLE REVIEW. Q1. Cite it first</t>
        </is>
      </c>
      <c r="J23" s="162" t="inlineStr">
        <is>
          <t>Thousands</t>
        </is>
      </c>
      <c r="K23" s="162" t="inlineStr">
        <is>
          <t>University of Southampton, UK</t>
        </is>
      </c>
      <c r="L23" s="162" t="inlineStr">
        <is>
          <t>doi.org/10.1145/963770.963773</t>
        </is>
      </c>
      <c r="M23" s="162" t="inlineStr">
        <is>
          <t>Describe what a user is interested in using an ontology rather than a bag of keywords, and see if recommendations get better.</t>
        </is>
      </c>
      <c r="N23" s="162" t="inlineStr">
        <is>
          <t>Researchers looking for papers</t>
        </is>
      </c>
      <c r="O23" s="162" t="inlineStr">
        <is>
          <t>Academic paper databases plus watching what users read and asking them</t>
        </is>
      </c>
      <c r="P23" s="162" t="inlineStr">
        <is>
          <t>Two deployed systems, Quickstep and Foxtrot</t>
        </is>
      </c>
      <c r="Q23" s="162" t="inlineStr">
        <is>
          <t>Not named</t>
        </is>
      </c>
      <c r="R23" s="162" t="inlineStr">
        <is>
          <t>They never say</t>
        </is>
      </c>
      <c r="S23" s="162" t="inlineStr">
        <is>
          <t>They never say</t>
        </is>
      </c>
      <c r="T23" s="162" t="inlineStr">
        <is>
          <t>A research topic ontology</t>
        </is>
      </c>
      <c r="U23" s="162" t="inlineStr">
        <is>
          <t>Topic hierarchy links</t>
        </is>
      </c>
      <c r="V23" s="162" t="inlineStr">
        <is>
          <t>Inference up the hierarchy</t>
        </is>
      </c>
      <c r="W23" s="162" t="inlineStr">
        <is>
          <t>Described in the paper</t>
        </is>
      </c>
      <c r="X23" s="162" t="inlineStr">
        <is>
          <t>Papers classified into ontology classes automatically</t>
        </is>
      </c>
      <c r="Y23" s="162" t="inlineStr">
        <is>
          <t>Their own systems. Inference over the topic tree. Bootstrapped from an outside publication database. Predates SPARQL</t>
        </is>
      </c>
      <c r="Z23" s="162" t="inlineStr">
        <is>
          <t>Watching you builds a profile in ontology terms. Inference extends it up the tree. Then collaborative recommendation finds papers similar people liked on your topics</t>
        </is>
      </c>
      <c r="AA23" s="162" t="inlineStr">
        <is>
          <t>Real deployments with real users over time</t>
        </is>
      </c>
      <c r="AB23" s="162" t="inlineStr">
        <is>
          <t>Three findings, all positive: inference improves profiling, outside knowledge bootstraps a cold start, showing users their profile improves accuracy. Holds up, real deployments</t>
        </is>
      </c>
      <c r="AC23" s="162" t="inlineStr">
        <is>
          <t>Take: ALL THREE FINDINGS ARE OUR THREE ARGUMENTS. (1) Inference up a hierarchy: our concerns have one. (2) Outside knowledge bootstraps a cold start: a new Beirut user has no history, but the ontology already knows what suits combination skin. THIS IS OUR COLD START ANSWER. (3) Users correcting their own profile.
Leave: the collaborative half, we have no user base.
They can't: no safety dimension, papers cannot hurt you.
My idea: their 'watching the user' in Lebanon is not browsing history. It is THE RECEIPT. Beirut pharmacies are small and repeat custom is normal. What somebody actually re-bought is more honest than what they clicked.</t>
        </is>
      </c>
    </row>
    <row r="24" ht="150" customHeight="1" s="49">
      <c r="A24" s="162" t="inlineStr">
        <is>
          <t>17</t>
        </is>
      </c>
      <c r="B24" s="157" t="inlineStr">
        <is>
          <t>C</t>
        </is>
      </c>
      <c r="C24" s="163" t="inlineStr">
        <is>
          <t>FoodKG</t>
        </is>
      </c>
      <c r="D24" s="162" t="inlineStr">
        <is>
          <t>FoodKG: A Semantics-Driven Knowledge Graph for Food Recommendation (2019), and the follow-up: Personalized Food Recommendation as Constrained Question Answering over a Large-scale Food Knowledge Graph (2021)</t>
        </is>
      </c>
      <c r="E24" s="162" t="inlineStr">
        <is>
          <t>Haussmann, Seneviratne, Chen, Ne'eman, Codella, Chen, McGuinness, Zaki (2019); Chen, Subburathinam, Chen, Zaki (2021)</t>
        </is>
      </c>
      <c r="F24" s="162" t="inlineStr">
        <is>
          <t>2019 and 2021</t>
        </is>
      </c>
      <c r="G24" s="162" t="n"/>
      <c r="H24" s="162" t="inlineStr">
        <is>
          <t>ISWC 2019 (top semantic web conference) and WSDM 2021</t>
        </is>
      </c>
      <c r="I24" s="162" t="inlineStr">
        <is>
          <t>Rank A. The closest thing to us in any field. If you read one paper outside skincare, this one</t>
        </is>
      </c>
      <c r="J24" s="162" t="inlineStr">
        <is>
          <t>Several hundred, plus over 100 for the follow-up</t>
        </is>
      </c>
      <c r="K24" s="162" t="inlineStr">
        <is>
          <t>Rensselaer Polytechnic Institute and IBM Research, USA</t>
        </is>
      </c>
      <c r="L24" s="162" t="inlineStr">
        <is>
          <t>doi.org/10.1007/978-3-030-30796-7_10  |  foodkg.github.io  |  arxiv.org/abs/2101.01775</t>
        </is>
      </c>
      <c r="M24" s="162" t="inlineStr">
        <is>
          <t>Recipes and food facts are scattered everywhere. Put them in one graph so people can eat better. Then (2021): stop ranking, and answer a question with constraints instead.</t>
        </is>
      </c>
      <c r="N24" s="162" t="inlineStr">
        <is>
          <t>People who want to eat well</t>
        </is>
      </c>
      <c r="O24" s="162" t="inlineStr">
        <is>
          <t>Recipes, nutrition data, food taxonomies, links into existing ontologies</t>
        </is>
      </c>
      <c r="P24" s="162" t="inlineStr">
        <is>
          <t>Millions of triples</t>
        </is>
      </c>
      <c r="Q24" s="162" t="inlineStr">
        <is>
          <t>Not named, but the construction process is presented as the contribution itself</t>
        </is>
      </c>
      <c r="R24" s="162" t="inlineStr">
        <is>
          <t>They never say</t>
        </is>
      </c>
      <c r="S24" s="162" t="inlineStr">
        <is>
          <t>They never say</t>
        </is>
      </c>
      <c r="T24" s="162" t="inlineStr">
        <is>
          <t>Recipes, ingredients, nutrients, food categories</t>
        </is>
      </c>
      <c r="U24" s="162" t="inlineStr">
        <is>
          <t>Recipe to ingredient to nutrition links</t>
        </is>
      </c>
      <c r="V24" s="162" t="inlineStr">
        <is>
          <t>Allergies as HARD constraints, not preferences</t>
        </is>
      </c>
      <c r="W24" s="162" t="inlineStr">
        <is>
          <t>YES, foodkg.github.io</t>
        </is>
      </c>
      <c r="X24" s="162" t="inlineStr">
        <is>
          <t>Integration of several existing datasets and ontologies, described step by step</t>
        </is>
      </c>
      <c r="Y24" s="162" t="inlineStr">
        <is>
          <t>Semantic web stack. A SPARQL service on top. Links to existing food and nutrition ontologies</t>
        </is>
      </c>
      <c r="Z24" s="162" t="inlineStr">
        <is>
          <t>A SPARQL service finds a recipe from the ingredients you have while respecting hard constraints like allergies. The 2021 paper turns the user's requirements into constraints and answers over the graph: the output is the set of things that satisfy every requirement, not a ranked list</t>
        </is>
      </c>
      <c r="AA24" s="162" t="inlineStr">
        <is>
          <t>Several applications built on the graph; benchmarks in the 2021 paper</t>
        </is>
      </c>
      <c r="AB24" s="162" t="inlineStr">
        <is>
          <t>Claims to be a resource and is one, published and reused. Holds up</t>
        </is>
      </c>
      <c r="AC24" s="162" t="inlineStr">
        <is>
          <t>Take: FOUR PRACTICES. Present construction itself as the contribution (a top venue accepted that). State a maintenance plan (no skincare ontology has one). Several apps on one graph, so the graph is infrastructure. HARD CONSTRAINTS: an allergy is a filter, not a score. That is exactly where an ontology beats a neural net.
Leave: the food specifics.
They can't: their constraints cite no legal authority. Our allergen constraint cites EU law.
My idea: the analogy is exact. Recipes = products. Nutrition from an authority = CosIng. Allergies = the EU 26. 'What can I cook with what is in my kitchen' = 'what can I buy in my pharmacy'. And the 2021 framing tells us what to build: not a ranker, a question answerer. 'Dry skin, under $15, buyable in Hamra' is four real columns.</t>
        </is>
      </c>
    </row>
    <row r="25" ht="150" customHeight="1" s="49">
      <c r="A25" s="162" t="inlineStr">
        <is>
          <t>18</t>
        </is>
      </c>
      <c r="B25" s="157" t="inlineStr">
        <is>
          <t>C</t>
        </is>
      </c>
      <c r="C25" s="163" t="inlineStr">
        <is>
          <t>Di Noia / Ostuni</t>
        </is>
      </c>
      <c r="D25" s="162" t="inlineStr">
        <is>
          <t>Linked Open Data to Support Content-based Recommender Systems (2012); Top-N Recommendations from Implicit Feedback Leveraging Linked Open Data (RecSys 2013); Using Linked Open Data in Recommender Systems (2015)</t>
        </is>
      </c>
      <c r="E25" s="162" t="inlineStr">
        <is>
          <t>Tommaso Di Noia, Vito Claudio Ostuni and colleagues</t>
        </is>
      </c>
      <c r="F25" s="162" t="inlineStr">
        <is>
          <t>2012 to 2015</t>
        </is>
      </c>
      <c r="G25" s="162" t="n"/>
      <c r="H25" s="162" t="inlineStr">
        <is>
          <t>I-SEMANTICS, RecSys, WIMS</t>
        </is>
      </c>
      <c r="I25" s="162" t="inlineStr">
        <is>
          <t>RecSys is the top recommender conference</t>
        </is>
      </c>
      <c r="J25" s="162" t="inlineStr">
        <is>
          <t>Several hundred across the line</t>
        </is>
      </c>
      <c r="K25" s="162" t="inlineStr">
        <is>
          <t>Politecnico di Bari, Italy</t>
        </is>
      </c>
      <c r="L25" s="162" t="inlineStr">
        <is>
          <t>doi.org/10.1145/2797115.2797128</t>
        </is>
      </c>
      <c r="M25" s="162" t="inlineStr">
        <is>
          <t>Recommend items using only the links they have in public data, when you have no ratings and thin descriptions.</t>
        </is>
      </c>
      <c r="N25" s="162" t="inlineStr">
        <is>
          <t>Content-based recommender builders</t>
        </is>
      </c>
      <c r="O25" s="162" t="inlineStr">
        <is>
          <t>DBpedia, Freebase, LinkedMDB. Movies</t>
        </is>
      </c>
      <c r="P25" s="162" t="inlineStr">
        <is>
          <t>Standard movie benchmarks</t>
        </is>
      </c>
      <c r="Q25" s="162" t="inlineStr">
        <is>
          <t>Doesn't apply</t>
        </is>
      </c>
      <c r="R25" s="162" t="inlineStr">
        <is>
          <t>Doesn't apply</t>
        </is>
      </c>
      <c r="S25" s="162" t="inlineStr">
        <is>
          <t>Doesn't apply</t>
        </is>
      </c>
      <c r="T25" s="162" t="inlineStr">
        <is>
          <t>DBpedia's classes</t>
        </is>
      </c>
      <c r="U25" s="162" t="inlineStr">
        <is>
          <t>DBpedia predicates as the dimensions</t>
        </is>
      </c>
      <c r="V25" s="162" t="inlineStr">
        <is>
          <t>None</t>
        </is>
      </c>
      <c r="W25" s="162" t="inlineStr">
        <is>
          <t>Public data</t>
        </is>
      </c>
      <c r="X25" s="162" t="inlineStr">
        <is>
          <t>Uses existing linked data</t>
        </is>
      </c>
      <c r="Y25" s="162" t="inlineStr">
        <is>
          <t>SPARQL against DBpedia endpoints. DBpedia, Freebase, LinkedMDB as outside data</t>
        </is>
      </c>
      <c r="Z25" s="162" t="inlineStr">
        <is>
          <t>A semantic vector space model. Each item becomes a list of numbers, but the dimensions are its LINKS in public data, not words. Two films are similar if they share a director, genre, period</t>
        </is>
      </c>
      <c r="AA25" s="162" t="inlineStr">
        <is>
          <t>Offline movie benchmarks</t>
        </is>
      </c>
      <c r="AB25" s="162" t="inlineStr">
        <is>
          <t>Described as promising. They name their open problem honestly: matching your item to the right outside entity is the hard part</t>
        </is>
      </c>
      <c r="AC25" s="162" t="inlineStr">
        <is>
          <t>Take: PRODUCT SIMILARITY WITHOUT RATINGS. Two products are similar if they share ingredient functions, a restriction profile, a concern, a price band. Our rating column is half empty and we have no history, so this is the only similarity that uses everything we collected.
Leave: the movie domain and the collaborative parts.
They can't: their open problem is entity matching. We MEASURED that on our own data: fuzzy matching scored a category page 100 against a full product name, and the database pass had a 19 to 33% error rate. Strong paragraph.
My idea: they enriched thin ITEMS with public data. Ours are rich already. So enrich the SHOPS instead. Wikidata and OpenStreetMap know where Beirut pharmacies are. 'Available fifteen minutes' walk away' is something no cosmetics system has done.</t>
        </is>
      </c>
    </row>
    <row r="26" ht="150" customHeight="1" s="49">
      <c r="A26" s="162" t="inlineStr">
        <is>
          <t>19</t>
        </is>
      </c>
      <c r="B26" s="157" t="inlineStr">
        <is>
          <t>C</t>
        </is>
      </c>
      <c r="C26" s="163" t="inlineStr">
        <is>
          <t>AliCoCo</t>
        </is>
      </c>
      <c r="D26" s="162" t="inlineStr">
        <is>
          <t>AliCoCo: Alibaba E-commerce Cognitive Concept Net</t>
        </is>
      </c>
      <c r="E26" s="162" t="inlineStr">
        <is>
          <t>Xusheng Luo et al.</t>
        </is>
      </c>
      <c r="F26" s="162" t="inlineStr">
        <is>
          <t>2020</t>
        </is>
      </c>
      <c r="G26" s="162" t="n"/>
      <c r="H26" s="162" t="inlineStr">
        <is>
          <t>ACM SIGMOD 2020</t>
        </is>
      </c>
      <c r="I26" s="162" t="inlineStr">
        <is>
          <t>Rank A star, one of the very best database venues. THE BIGGEST IDEA IN THE REVIEW</t>
        </is>
      </c>
      <c r="J26" s="162" t="inlineStr">
        <is>
          <t>Several hundred</t>
        </is>
      </c>
      <c r="K26" s="162" t="inlineStr">
        <is>
          <t>Alibaba and Shanghai Jiao Tong University, China</t>
        </is>
      </c>
      <c r="L26" s="162" t="inlineStr">
        <is>
          <t>doi.org/10.1145/3318464.3386132  |  github.com/alicogintel/AliCoCo</t>
        </is>
      </c>
      <c r="M26" s="162" t="inlineStr">
        <is>
          <t>Every product ontology describes what a product IS. Shoppers think about what they NEED. That gap is why shopping feels stupid.</t>
        </is>
      </c>
      <c r="N26" s="162" t="inlineStr">
        <is>
          <t>E-commerce platforms and shoppers</t>
        </is>
      </c>
      <c r="O26" s="162" t="inlineStr">
        <is>
          <t>Alibaba's catalogue and user behaviour, at national scale</t>
        </is>
      </c>
      <c r="P26" s="162" t="inlineStr">
        <is>
          <t>Millions of concepts and items</t>
        </is>
      </c>
      <c r="Q26" s="162" t="inlineStr">
        <is>
          <t>Not named, but the design principle is explicit</t>
        </is>
      </c>
      <c r="R26" s="162" t="inlineStr">
        <is>
          <t>Large</t>
        </is>
      </c>
      <c r="S26" s="162" t="inlineStr">
        <is>
          <t>Large</t>
        </is>
      </c>
      <c r="T26" s="162" t="inlineStr">
        <is>
          <t>USER NEEDS AS FIRST-CLASS ENTITIES. Not 'moisturiser' but 'outdoor barbecue', 'keeping warm in winter', 'getting ready for a beach holiday'</t>
        </is>
      </c>
      <c r="U26" s="162" t="inlineStr">
        <is>
          <t>Needs linked to items, categories and attributes</t>
        </is>
      </c>
      <c r="V26" s="162" t="inlineStr">
        <is>
          <t>The representation is the contribution</t>
        </is>
      </c>
      <c r="W26" s="162" t="inlineStr">
        <is>
          <t>Partly, via GitHub</t>
        </is>
      </c>
      <c r="X26" s="162" t="inlineStr">
        <is>
          <t>Semi-automatic extraction at scale from catalogue and behaviour</t>
        </is>
      </c>
      <c r="Y26" s="162" t="inlineStr">
        <is>
          <t>Alibaba's internal stack. Their own concept net</t>
        </is>
      </c>
      <c r="Z26" s="162" t="inlineStr">
        <is>
          <t>Your stated situation retrieves the products that serve it, not the ones matching your keywords</t>
        </is>
      </c>
      <c r="AA26" s="162" t="inlineStr">
        <is>
          <t>Deployed at Alibaba scale with online metrics</t>
        </is>
      </c>
      <c r="AB26" s="162" t="inlineStr">
        <is>
          <t>Reported improvements in production. Holds up, validated by real deployment rather than an offline split</t>
        </is>
      </c>
      <c r="AC26" s="162" t="inlineStr">
        <is>
          <t>Take: THE ONE IDEA. Our concerns column is a user need sitting in a product schema pretending to be an attribute. Promote it. A need entity can be met by a COMBINATION of products, can carry a budget, a season, a constraint. An attribute can do none of that.
Leave: the scale and the behavioural extraction.
They can't: no regulator, no provenance. Nothing in AliCoCo says who claimed what.
My idea: LEBANESE NEEDS ARE NOT GLOBAL NEEDS. 'A routine under $20 a month.' 'Products that don't need a fridge.' 'Something for a bride.' 'A routine I can buy in one pharmacy.' Every one is expressible in our data. Nobody can copy it without our dataset. Most original claim, least certain, do it last.</t>
        </is>
      </c>
    </row>
    <row r="27" ht="150" customHeight="1" s="49">
      <c r="A27" s="162" t="inlineStr">
        <is>
          <t>20</t>
        </is>
      </c>
      <c r="B27" s="157" t="inlineStr">
        <is>
          <t>C</t>
        </is>
      </c>
      <c r="C27" s="163" t="inlineStr">
        <is>
          <t>Guo survey</t>
        </is>
      </c>
      <c r="D27" s="162" t="inlineStr">
        <is>
          <t>A Survey on Knowledge Graph-Based Recommender Systems</t>
        </is>
      </c>
      <c r="E27" s="162" t="inlineStr">
        <is>
          <t>Qingyu Guo et al.</t>
        </is>
      </c>
      <c r="F27" s="162" t="inlineStr">
        <is>
          <t>2022</t>
        </is>
      </c>
      <c r="G27" s="162" t="n"/>
      <c r="H27" s="162" t="inlineStr">
        <is>
          <t>IEEE Transactions on Knowledge and Data Engineering, 34(8), 3549 to 3568</t>
        </is>
      </c>
      <c r="I27" s="162" t="inlineStr">
        <is>
          <t>Q1. Cite the 2022 journal version, not the 2020 preprint. I nearly got that wrong</t>
        </is>
      </c>
      <c r="J27" s="162" t="inlineStr">
        <is>
          <t>Over a thousand</t>
        </is>
      </c>
      <c r="K27" s="162" t="inlineStr">
        <is>
          <t>Chinese Academy of Sciences, Microsoft Research Asia, Rutgers</t>
        </is>
      </c>
      <c r="L27" s="162" t="inlineStr">
        <is>
          <t>arxiv.org/abs/2003.00911</t>
        </is>
      </c>
      <c r="M27" s="162" t="inlineStr">
        <is>
          <t>Sort the whole field of knowledge-graph recommenders into a usable map.</t>
        </is>
      </c>
      <c r="N27" s="162" t="inlineStr">
        <is>
          <t>Recommender researchers</t>
        </is>
      </c>
      <c r="O27" s="162" t="inlineStr">
        <is>
          <t>Hundreds of papers</t>
        </is>
      </c>
      <c r="P27" s="162" t="inlineStr">
        <is>
          <t>Doesn't apply</t>
        </is>
      </c>
      <c r="Q27" s="162" t="inlineStr">
        <is>
          <t>Doesn't apply</t>
        </is>
      </c>
      <c r="R27" s="162" t="inlineStr">
        <is>
          <t>Doesn't apply</t>
        </is>
      </c>
      <c r="S27" s="162" t="inlineStr">
        <is>
          <t>Doesn't apply</t>
        </is>
      </c>
      <c r="T27" s="162" t="inlineStr">
        <is>
          <t>Doesn't apply</t>
        </is>
      </c>
      <c r="U27" s="162" t="inlineStr">
        <is>
          <t>Doesn't apply</t>
        </is>
      </c>
      <c r="V27" s="162" t="inlineStr">
        <is>
          <t>Doesn't apply</t>
        </is>
      </c>
      <c r="W27" s="162" t="inlineStr">
        <is>
          <t>Published survey</t>
        </is>
      </c>
      <c r="X27" s="162" t="inlineStr">
        <is>
          <t>Doesn't apply</t>
        </is>
      </c>
      <c r="Y27" s="162" t="inlineStr">
        <is>
          <t>Doesn't apply</t>
        </is>
      </c>
      <c r="Z27" s="162" t="inlineStr">
        <is>
          <t>Three families. EMBEDDING: turn entities into vectors, scales but the reasoning is gone. PATH: find paths between user and item, explainable but expensive. UNIFIED: propagate across the graph, best accuracy but needs lots of interaction data</t>
        </is>
      </c>
      <c r="AA27" s="162" t="inlineStr">
        <is>
          <t>Reviews others</t>
        </is>
      </c>
      <c r="AB27" s="162" t="inlineStr">
        <is>
          <t>A survey, appropriately careful</t>
        </is>
      </c>
      <c r="AC27" s="162" t="inlineStr">
        <is>
          <t>Take: the three-family structure for our hybrid section.
Leave: the methods themselves, for now.
They can't: ALL THREE FAMILIES ASSUME A USER-ITEM MATRIX AND A GRAPH THAT ALREADY EXISTS. We have neither. So we sit UPSTREAM of the whole survey.
My idea: this turns our biggest apparent weakness into a scope statement. Say: 'the survey classifies methods for USING a knowledge graph and assumes one exists for the domain. For skincare in a local market it does not. This thesis builds it.' Then 'you have no users' is answered.</t>
        </is>
      </c>
    </row>
    <row r="28" ht="150" customHeight="1" s="49">
      <c r="A28" s="162" t="inlineStr">
        <is>
          <t>21</t>
        </is>
      </c>
      <c r="B28" s="157" t="inlineStr">
        <is>
          <t>C</t>
        </is>
      </c>
      <c r="C28" s="163" t="inlineStr">
        <is>
          <t>E-Prod</t>
        </is>
      </c>
      <c r="D28" s="162" t="inlineStr">
        <is>
          <t>An ontology based product recommendation system for next generation e-retail (plus Alaa et al. 2021 on ontology evolution)</t>
        </is>
      </c>
      <c r="E28" s="162" t="inlineStr">
        <is>
          <t>Ali Murat Tiryaki et al. (2023); Rana Alaa et al. (2021)</t>
        </is>
      </c>
      <c r="F28" s="162" t="inlineStr">
        <is>
          <t>2023, 2021</t>
        </is>
      </c>
      <c r="G28" s="162" t="n"/>
      <c r="H28" s="162" t="inlineStr">
        <is>
          <t>Journal of Organizational Computing and Electronic Commerce; Electronics (MDPI)</t>
        </is>
      </c>
      <c r="I28" s="162" t="inlineStr">
        <is>
          <t>Respectable. State-funded R&amp;D. The industrial version of what we did by hand</t>
        </is>
      </c>
      <c r="J28" s="162" t="inlineStr">
        <is>
          <t>4, and 14 for Alaa</t>
        </is>
      </c>
      <c r="K28" s="162" t="inlineStr">
        <is>
          <t>Turkey; Egypt</t>
        </is>
      </c>
      <c r="L28" s="162" t="inlineStr">
        <is>
          <t>consensus.app/papers/details/d79755c5a1a65d048c1d926a7e172938</t>
        </is>
      </c>
      <c r="M28" s="162" t="inlineStr">
        <is>
          <t>Product recommenders fail because they have no semantics. And (Alaa): everyone builds their ontology once from a snapshot, so it goes stale.</t>
        </is>
      </c>
      <c r="N28" s="162" t="inlineStr">
        <is>
          <t>E-commerce sellers and buyers. Clothing, shoes, bags</t>
        </is>
      </c>
      <c r="O28" s="162" t="inlineStr">
        <is>
          <t>Live e-commerce sites, tracked in real time</t>
        </is>
      </c>
      <c r="P28" s="162" t="inlineStr">
        <is>
          <t>Over 250 registered users</t>
        </is>
      </c>
      <c r="Q28" s="162" t="inlineStr">
        <is>
          <t>Not named. Alaa proposes a semi-automatic building method with an evolution subsystem</t>
        </is>
      </c>
      <c r="R28" s="162" t="inlineStr">
        <is>
          <t>They never say</t>
        </is>
      </c>
      <c r="S28" s="162" t="inlineStr">
        <is>
          <t>They never say</t>
        </is>
      </c>
      <c r="T28" s="162" t="inlineStr">
        <is>
          <t>Product model classes, not detailed</t>
        </is>
      </c>
      <c r="U28" s="162" t="inlineStr">
        <is>
          <t>Abstract doesn't say</t>
        </is>
      </c>
      <c r="V28" s="162" t="inlineStr">
        <is>
          <t>Semantic matching between products and preferences</t>
        </is>
      </c>
      <c r="W28" s="162" t="inlineStr">
        <is>
          <t>Not stated</t>
        </is>
      </c>
      <c r="X28" s="162" t="inlineStr">
        <is>
          <t>TRACKS E-COMMERCE SITES IN REAL TIME AND PUSHES PRODUCT INFO STRAIGHT INTO THE ONTOLOGY. Continuous, not one-off</t>
        </is>
      </c>
      <c r="Y28" s="162" t="inlineStr">
        <is>
          <t>Machine learning plus semantic matching. Not stated beyond that</t>
        </is>
      </c>
      <c r="Z28" s="162" t="inlineStr">
        <is>
          <t>Learns preferences by watching behaviour, then matches semantically between products and preferences</t>
        </is>
      </c>
      <c r="AA28" s="162" t="inlineStr">
        <is>
          <t>250+ real users against traditional collaborative filtering</t>
        </is>
      </c>
      <c r="AB28" s="162" t="inlineStr">
        <is>
          <t>Accuracy 92.79%, precision 92.93%, recall 90.58%, beating the baseline. THE BEST EVALUATION IN THE REVIEW: real users, a stated baseline, three metrics</t>
        </is>
      </c>
      <c r="AC28" s="162" t="inlineStr">
        <is>
          <t>Take: THE POPULATION ARCHITECTURE. They prove scraping can run continuously. Our six Lebanese retailers could be re-read on a schedule, turning the dataset from a snapshot into a live resource. Biggest upgrade available to the dataset paper, no new modelling. Also Alaa's point gives us the citation for the maintenance section LOT requires.
Leave: the clothing domain and the behavioural learning.
They can't: no regulator, no provenance, no safety. Clothes cannot hurt you.
My idea: our named graph design already answers Alaa. Reload graph:lb-retail weekly without touching anything else. The architecture solves their criticism by construction, and we can say so.</t>
        </is>
      </c>
    </row>
    <row r="29" ht="150" customHeight="1" s="49">
      <c r="A29" s="162" t="inlineStr">
        <is>
          <t>22</t>
        </is>
      </c>
      <c r="B29" s="157" t="inlineStr">
        <is>
          <t>C</t>
        </is>
      </c>
      <c r="C29" s="163" t="inlineStr">
        <is>
          <t>Lahoud (Lebanon)</t>
        </is>
      </c>
      <c r="D29" s="162" t="inlineStr">
        <is>
          <t>A comparative analysis of different recommender systems for university major and career domain guidance</t>
        </is>
      </c>
      <c r="E29" s="162" t="inlineStr">
        <is>
          <t>Christine Lahoud et al.</t>
        </is>
      </c>
      <c r="F29" s="162" t="inlineStr">
        <is>
          <t>2022</t>
        </is>
      </c>
      <c r="G29" s="162" t="n"/>
      <c r="H29" s="162" t="inlineStr">
        <is>
          <t>Education and Information Technologies, Springer</t>
        </is>
      </c>
      <c r="I29" s="162" t="inlineStr">
        <is>
          <t>Solid Springer journal. THE LEBANESE PRECEDENT</t>
        </is>
      </c>
      <c r="J29" s="162" t="inlineStr">
        <is>
          <t>36</t>
        </is>
      </c>
      <c r="K29" s="162" t="inlineStr">
        <is>
          <t>LEBANON</t>
        </is>
      </c>
      <c r="L29" s="162" t="inlineStr">
        <is>
          <t>consensus.app/papers/details/1aef32f231a051b8b266907d2bb517b6</t>
        </is>
      </c>
      <c r="M29" s="162" t="inlineStr">
        <is>
          <t>Lebanese high school students are lost choosing a major, with a volatile job market and too much data online.</t>
        </is>
      </c>
      <c r="N29" s="162" t="inlineStr">
        <is>
          <t>Lebanese high school students</t>
        </is>
      </c>
      <c r="O29" s="162" t="inlineStr">
        <is>
          <t>A case study on Lebanese students with a purpose-built ontology</t>
        </is>
      </c>
      <c r="P29" s="162" t="inlineStr">
        <is>
          <t>They never say</t>
        </is>
      </c>
      <c r="Q29" s="162" t="inlineStr">
        <is>
          <t>Not named</t>
        </is>
      </c>
      <c r="R29" s="162" t="inlineStr">
        <is>
          <t>They never say</t>
        </is>
      </c>
      <c r="S29" s="162" t="inlineStr">
        <is>
          <t>They never say</t>
        </is>
      </c>
      <c r="T29" s="162" t="inlineStr">
        <is>
          <t>A guidance-domain ontology</t>
        </is>
      </c>
      <c r="U29" s="162" t="inlineStr">
        <is>
          <t>Abstract doesn't say</t>
        </is>
      </c>
      <c r="V29" s="162" t="inlineStr">
        <is>
          <t>Case-based reasoning with the ontology</t>
        </is>
      </c>
      <c r="W29" s="162" t="inlineStr">
        <is>
          <t>Described as reusable in other systems</t>
        </is>
      </c>
      <c r="X29" s="162" t="inlineStr">
        <is>
          <t>Not stated</t>
        </is>
      </c>
      <c r="Y29" s="162" t="inlineStr">
        <is>
          <t>Not stated</t>
        </is>
      </c>
      <c r="Z29" s="162" t="inlineStr">
        <is>
          <t>Five approaches compared on the same case: user-based CF, item-based CF, demographic, knowledge-based with case-based reasoning, ontology, and hybrids</t>
        </is>
      </c>
      <c r="AA29" s="162" t="inlineStr">
        <is>
          <t>Comparative evaluation on Lebanese students with feedback and satisfaction</t>
        </is>
      </c>
      <c r="AB29" s="162" t="inlineStr">
        <is>
          <t>The hybrid (knowledge + CF + case-based reasoning + ontology) reached 98% similar cases, 95% personalised, 95% usefulness, 92.5% satisfaction. Five approaches on one case is a proper comparison</t>
        </is>
      </c>
      <c r="AC29" s="162" t="inlineStr">
        <is>
          <t>Take: (1) a Lebanon-focused ontology recommender is publishable in a real journal with citations, so local scope is NOT a weakness. (2) The hybrid beat every pure approach, which backs our future work. (3) These are Lebanese academics working on ontology recommenders: possible examiners, reviewers, collaborators.
Leave: the education domain.
They can't: nothing, it is an ally.
My idea: find out where they are.</t>
        </is>
      </c>
    </row>
    <row r="30" ht="26" customHeight="1" s="49">
      <c r="A30" s="160" t="inlineStr">
        <is>
          <t xml:space="preserve">  GROUP D   REVIEWS, EVALUATION, AND THE ALTERNATIVE     What counts as good, and the deep learning paper we have to answer.</t>
        </is>
      </c>
      <c r="B30" s="161" t="n"/>
      <c r="C30" s="161" t="n"/>
      <c r="D30" s="161" t="n"/>
      <c r="E30" s="161" t="n"/>
      <c r="F30" s="161" t="n"/>
      <c r="G30" s="161" t="n"/>
      <c r="H30" s="161" t="n"/>
      <c r="I30" s="161" t="n"/>
      <c r="J30" s="161" t="n"/>
      <c r="K30" s="161" t="n"/>
      <c r="L30" s="161" t="n"/>
      <c r="M30" s="161" t="n"/>
      <c r="N30" s="161" t="n"/>
      <c r="O30" s="161" t="n"/>
      <c r="P30" s="161" t="n"/>
      <c r="Q30" s="161" t="n"/>
      <c r="R30" s="161" t="n"/>
      <c r="S30" s="161" t="n"/>
      <c r="T30" s="161" t="n"/>
      <c r="U30" s="161" t="n"/>
      <c r="V30" s="161" t="n"/>
      <c r="W30" s="161" t="n"/>
      <c r="X30" s="161" t="n"/>
      <c r="Y30" s="161" t="n"/>
      <c r="Z30" s="161" t="n"/>
      <c r="AA30" s="161" t="n"/>
      <c r="AB30" s="161" t="n"/>
      <c r="AC30" s="161" t="n"/>
    </row>
    <row r="31" ht="150" customHeight="1" s="49">
      <c r="A31" s="162" t="inlineStr">
        <is>
          <t>23</t>
        </is>
      </c>
      <c r="B31" s="157" t="inlineStr">
        <is>
          <t>D</t>
        </is>
      </c>
      <c r="C31" s="163" t="inlineStr">
        <is>
          <t>Rahayu review</t>
        </is>
      </c>
      <c r="D31" s="162" t="inlineStr">
        <is>
          <t>A systematic review of ontology use in E-Learning recommender system</t>
        </is>
      </c>
      <c r="E31" s="162" t="inlineStr">
        <is>
          <t>Nur Wahyu Rahayu et al.</t>
        </is>
      </c>
      <c r="F31" s="162" t="inlineStr">
        <is>
          <t>2022</t>
        </is>
      </c>
      <c r="G31" s="162" t="n"/>
      <c r="H31" s="162" t="inlineStr">
        <is>
          <t>Computers and Education: Artificial Intelligence</t>
        </is>
      </c>
      <c r="I31" s="162" t="inlineStr">
        <is>
          <t>Well cited Elsevier journal. THE MOST USEFUL SINGLE CITATION IN THE REVIEW. Put it in the introduction</t>
        </is>
      </c>
      <c r="J31" s="162" t="inlineStr">
        <is>
          <t>137</t>
        </is>
      </c>
      <c r="K31" s="162" t="inlineStr">
        <is>
          <t>Indonesia</t>
        </is>
      </c>
      <c r="L31" s="162" t="inlineStr">
        <is>
          <t>consensus.app/papers/details/1f58f76b65ab5e5ca6b4ec6af28c2664</t>
        </is>
      </c>
      <c r="M31" s="162" t="inlineStr">
        <is>
          <t>Nobody had systematically looked at how ontology recommenders are actually built. So look.</t>
        </is>
      </c>
      <c r="N31" s="162" t="inlineStr">
        <is>
          <t>Researchers building ontology recommenders</t>
        </is>
      </c>
      <c r="O31" s="162" t="inlineStr">
        <is>
          <t>28 journal articles on ontology-based recommender systems</t>
        </is>
      </c>
      <c r="P31" s="162" t="inlineStr">
        <is>
          <t>28 primary studies</t>
        </is>
      </c>
      <c r="Q31" s="162" t="inlineStr">
        <is>
          <t>Studies whether OTHERS named a method, and finds they mostly didn't</t>
        </is>
      </c>
      <c r="R31" s="162" t="inlineStr">
        <is>
          <t>Doesn't apply</t>
        </is>
      </c>
      <c r="S31" s="162" t="inlineStr">
        <is>
          <t>Doesn't apply</t>
        </is>
      </c>
      <c r="T31" s="162" t="inlineStr">
        <is>
          <t>Doesn't apply</t>
        </is>
      </c>
      <c r="U31" s="162" t="inlineStr">
        <is>
          <t>Doesn't apply</t>
        </is>
      </c>
      <c r="V31" s="162" t="inlineStr">
        <is>
          <t>Doesn't apply</t>
        </is>
      </c>
      <c r="W31" s="162" t="inlineStr">
        <is>
          <t>Published review</t>
        </is>
      </c>
      <c r="X31" s="162" t="inlineStr">
        <is>
          <t>Doesn't apply</t>
        </is>
      </c>
      <c r="Y31" s="162" t="inlineStr">
        <is>
          <t>Doesn't apply</t>
        </is>
      </c>
      <c r="Z31" s="162" t="inlineStr">
        <is>
          <t>Doesn't apply</t>
        </is>
      </c>
      <c r="AA31" s="162" t="inlineStr">
        <is>
          <t>Systematic review</t>
        </is>
      </c>
      <c r="AB31" s="162" t="inlineStr">
        <is>
          <t>TWO FINDINGS: ontology recommenders 'seldom use the methodology of building ontologies', and 'NONE of the primary studies described ontology evaluation methodologies'. None of 28. Also: standards for profiles and metadata are rarely adopted</t>
        </is>
      </c>
      <c r="AC31" s="162" t="inlineStr">
        <is>
          <t>Take: THIS IS OUR GAP STATEMENT, quantified by someone else. Naming a method (MOMo + LOT) and reporting an evaluation (OOPS!, FOOPS!, competency questions) are not housekeeping. In this field they are contributions, and cheap ones.
Leave: the e-learning specifics.
They can't: it is an ally.
My idea: one paragraph naming our method plus one afternoon running two free web tools puts us ahead of an entire 28-paper sample on the two things it was worst at. No cheaper way to strengthen a thesis.</t>
        </is>
      </c>
    </row>
    <row r="32" ht="150" customHeight="1" s="49">
      <c r="A32" s="162" t="inlineStr">
        <is>
          <t>24</t>
        </is>
      </c>
      <c r="B32" s="157" t="inlineStr">
        <is>
          <t>D</t>
        </is>
      </c>
      <c r="C32" s="163" t="inlineStr">
        <is>
          <t>Tarus (two papers)</t>
        </is>
      </c>
      <c r="D32" s="162" t="inlineStr">
        <is>
          <t>Knowledge-based recommendation: a review of ontology-based recommender systems for e-learning (review, 2017); A hybrid knowledge-based recommender system based on ontology and sequential pattern mining (hybrid, 2017)</t>
        </is>
      </c>
      <c r="E32" s="162" t="inlineStr">
        <is>
          <t>John Tarus, Zhendong Niu, with Ghulam Mustafa / Abdallah Yousif</t>
        </is>
      </c>
      <c r="F32" s="162" t="inlineStr">
        <is>
          <t>2017</t>
        </is>
      </c>
      <c r="G32" s="162" t="n"/>
      <c r="H32" s="162" t="inlineStr">
        <is>
          <t>Artificial Intelligence Review (Springer); Future Generation Computer Systems (Elsevier, Q1)</t>
        </is>
      </c>
      <c r="I32" s="162" t="inlineStr">
        <is>
          <t>Both strong. The standard citations for 'why an ontology at all' and 'cold start'</t>
        </is>
      </c>
      <c r="J32" s="162" t="inlineStr">
        <is>
          <t>451 and 277</t>
        </is>
      </c>
      <c r="K32" s="162" t="inlineStr">
        <is>
          <t>Beijing Institute of Technology, China</t>
        </is>
      </c>
      <c r="L32" s="162" t="inlineStr">
        <is>
          <t>consensus.app/papers/details/015574eca5b4569e908597b9530f1c34</t>
        </is>
      </c>
      <c r="M32" s="162" t="inlineStr">
        <is>
          <t>Review: nobody had reviewed ontology recommenders properly. Hybrid: recommenders suffer cold start and sparsity and ignore differences between users.</t>
        </is>
      </c>
      <c r="N32" s="162" t="inlineStr">
        <is>
          <t>Researchers; e-learning platforms</t>
        </is>
      </c>
      <c r="O32" s="162" t="inlineStr">
        <is>
          <t>Review: papers 2005 to 2014. Hybrid: learner data and learning resources</t>
        </is>
      </c>
      <c r="P32" s="162" t="inlineStr">
        <is>
          <t>They never say</t>
        </is>
      </c>
      <c r="Q32" s="162" t="inlineStr">
        <is>
          <t>Not named</t>
        </is>
      </c>
      <c r="R32" s="162" t="inlineStr">
        <is>
          <t>They never say</t>
        </is>
      </c>
      <c r="S32" s="162" t="inlineStr">
        <is>
          <t>They never say</t>
        </is>
      </c>
      <c r="T32" s="162" t="inlineStr">
        <is>
          <t>Learner and resource classes</t>
        </is>
      </c>
      <c r="U32" s="162" t="inlineStr">
        <is>
          <t>Ontology knowledge used for similarity</t>
        </is>
      </c>
      <c r="V32" s="162" t="inlineStr">
        <is>
          <t>None stated</t>
        </is>
      </c>
      <c r="W32" s="162" t="inlineStr">
        <is>
          <t>Not stated</t>
        </is>
      </c>
      <c r="X32" s="162" t="inlineStr">
        <is>
          <t>Not stated</t>
        </is>
      </c>
      <c r="Y32" s="162" t="inlineStr">
        <is>
          <t>Ontology plus sequential pattern mining (finds common orderings in how people consume things)</t>
        </is>
      </c>
      <c r="Z32" s="162" t="inlineStr">
        <is>
          <t>Hybrid: build the ontology, compute similarity using ontological knowledge, get a top-N list with collaborative filtering, reorder it with sequential pattern mining</t>
        </is>
      </c>
      <c r="AA32" s="162" t="inlineStr">
        <is>
          <t>Review: systematic. Hybrid: experiments against baselines</t>
        </is>
      </c>
      <c r="AB32" s="162" t="inlineStr">
        <is>
          <t>Review concludes ontologies improve recommendation quality and hybridising helps more. Hybrid reports improved performance. Both hold up for what they claim</t>
        </is>
      </c>
      <c r="AC32" s="162" t="inlineStr">
        <is>
          <t>Take: the review is the 451-citation answer to 'why an ontology'. The hybrid states explicitly that ontological domain knowledge ALLEVIATES COLD START AND SPARSITY, our cold start argument with 277 citations attached. And the division of labour: ontology handles the domain, the learned part handles users. That means our ontology is the half that must exist first.
Leave: sequential pattern mining and CF, no user sequences.
They can't: no authority, no provenance, no availability.
My idea: none, they are justification sources.</t>
        </is>
      </c>
    </row>
    <row r="33" ht="150" customHeight="1" s="49">
      <c r="A33" s="162" t="inlineStr">
        <is>
          <t>25</t>
        </is>
      </c>
      <c r="B33" s="157" t="inlineStr">
        <is>
          <t>D</t>
        </is>
      </c>
      <c r="C33" s="163" t="inlineStr">
        <is>
          <t>COPPER ontology</t>
        </is>
      </c>
      <c r="D33" s="162" t="inlineStr">
        <is>
          <t>Development and evaluation of the COntextualised and Personalised Physical activity and Exercise Recommendations (COPPER) Ontology</t>
        </is>
      </c>
      <c r="E33" s="162" t="inlineStr">
        <is>
          <t>M. Braun et al.</t>
        </is>
      </c>
      <c r="F33" s="162" t="inlineStr">
        <is>
          <t>2025</t>
        </is>
      </c>
      <c r="G33" s="162" t="n"/>
      <c r="H33" s="162" t="inlineStr">
        <is>
          <t>International Journal of Behavioral Nutrition and Physical Activity</t>
        </is>
      </c>
      <c r="I33" s="162" t="inlineStr">
        <is>
          <t>Q1 health journal. THE TEMPLATE FOR OUR ONTOLOGY CHAPTER. Read it and match its structure</t>
        </is>
      </c>
      <c r="J33" s="162" t="inlineStr">
        <is>
          <t>4</t>
        </is>
      </c>
      <c r="K33" s="162" t="inlineStr">
        <is>
          <t>Europe</t>
        </is>
      </c>
      <c r="L33" s="162" t="inlineStr">
        <is>
          <t>consensus.app/papers/details/49832525b1df5c31865f019b8635ffe5</t>
        </is>
      </c>
      <c r="M33" s="162" t="inlineStr">
        <is>
          <t>Personalised exercise plans need expert knowledge, user input and data together, and black boxes cannot do that transparently.</t>
        </is>
      </c>
      <c r="N33" s="162" t="inlineStr">
        <is>
          <t>People getting activity advice, and their advisers</t>
        </is>
      </c>
      <c r="O33" s="162" t="inlineStr">
        <is>
          <t>Literature, use case scenarios, decision-tree workshops, existing theories, end users, domain experts, datasets</t>
        </is>
      </c>
      <c r="P33" s="162" t="inlineStr">
        <is>
          <t>288 classes, 64 object properties, 9 data properties</t>
        </is>
      </c>
      <c r="Q33" s="162" t="inlineStr">
        <is>
          <t>Yes. Specification, conceptualisation, formalisation. Follows OBO Foundry design principles</t>
        </is>
      </c>
      <c r="R33" s="162" t="inlineStr">
        <is>
          <t>288</t>
        </is>
      </c>
      <c r="S33" s="162" t="inlineStr">
        <is>
          <t>64 object, 9 data</t>
        </is>
      </c>
      <c r="T33" s="162" t="inlineStr">
        <is>
          <t>An upper ontology plus lower ones for PERSONAL PROFILE, PLANNING, ACTIVITY, CONTEXT, BARRIER and COPING STRATEGY. Note the modules</t>
        </is>
      </c>
      <c r="U33" s="162" t="inlineStr">
        <is>
          <t>Abstract doesn't say</t>
        </is>
      </c>
      <c r="V33" s="162" t="inlineStr">
        <is>
          <t>Logic rules written during formalisation</t>
        </is>
      </c>
      <c r="W33" s="162" t="inlineStr">
        <is>
          <t>YES, openly available, and they list that as one of their three novelty claims</t>
        </is>
      </c>
      <c r="X33" s="162" t="inlineStr">
        <is>
          <t>Combined theory, classification systems, user input, expert input and datasets</t>
        </is>
      </c>
      <c r="Y33" s="162" t="inlineStr">
        <is>
          <t>Protege, translated into OWL</t>
        </is>
      </c>
      <c r="Z33" s="162" t="inlineStr">
        <is>
          <t>Recommends action and coping plans from a profile plus context</t>
        </is>
      </c>
      <c r="AA33" s="162" t="inlineStr">
        <is>
          <t>THREE LAYERS: the process against OBO principles, the ontology for logical consistency, the recommendations with competency questions and use cases</t>
        </is>
      </c>
      <c r="AB33" s="162" t="inlineStr">
        <is>
          <t>Consistent, and recommendations judged relevant. They claim exactly what they show, no accuracy figure because none is warranted. Holds up</t>
        </is>
      </c>
      <c r="AC33" s="162" t="inlineStr">
        <is>
          <t>Take: THE WHOLE STRUCTURE. Modular design, a stated process, three-layer evaluation, open publication as a contribution in itself. Even 288 classes is a realistic size for us.
Leave: the physical activity domain.
They can't: nothing. Read it and copy the shape.
My idea: they have a BARRIER module: what stops a person doing the activity. Ours is unavailability, price, the currency crisis. 'Barrier' is a better name than 'availability' because it covers price, stock, distance and season in one idea. Consider renaming our Lebanon module around it.</t>
        </is>
      </c>
    </row>
    <row r="34" ht="150" customHeight="1" s="49">
      <c r="A34" s="162" t="inlineStr">
        <is>
          <t>26</t>
        </is>
      </c>
      <c r="B34" s="157" t="inlineStr">
        <is>
          <t>D</t>
        </is>
      </c>
      <c r="C34" s="163" t="inlineStr">
        <is>
          <t>FEVR</t>
        </is>
      </c>
      <c r="D34" s="162" t="inlineStr">
        <is>
          <t>Evaluating Recommender Systems: Survey and Framework</t>
        </is>
      </c>
      <c r="E34" s="162" t="inlineStr">
        <is>
          <t>Eva Zangerle, Christine Bauer</t>
        </is>
      </c>
      <c r="F34" s="162" t="inlineStr">
        <is>
          <t>2022</t>
        </is>
      </c>
      <c r="G34" s="162" t="n"/>
      <c r="H34" s="162" t="inlineStr">
        <is>
          <t>ACM Computing Surveys</t>
        </is>
      </c>
      <c r="I34" s="162" t="inlineStr">
        <is>
          <t>Q1, very high impact. The shield for our evaluation choice</t>
        </is>
      </c>
      <c r="J34" s="162" t="inlineStr">
        <is>
          <t>283</t>
        </is>
      </c>
      <c r="K34" s="162" t="inlineStr">
        <is>
          <t>Austria</t>
        </is>
      </c>
      <c r="L34" s="162" t="inlineStr">
        <is>
          <t>consensus.app/papers/details/793b2c09411459cda72df729aee73069</t>
        </is>
      </c>
      <c r="M34" s="162" t="inlineStr">
        <is>
          <t>Evaluating a recommender means choosing goals, methods, data and metrics together, and that knowledge is scattered.</t>
        </is>
      </c>
      <c r="N34" s="162" t="inlineStr">
        <is>
          <t>Recommender researchers</t>
        </is>
      </c>
      <c r="O34" s="162" t="inlineStr">
        <is>
          <t>The literature on evaluation</t>
        </is>
      </c>
      <c r="P34" s="162" t="inlineStr">
        <is>
          <t>Doesn't apply</t>
        </is>
      </c>
      <c r="Q34" s="162" t="inlineStr">
        <is>
          <t>Doesn't apply</t>
        </is>
      </c>
      <c r="R34" s="162" t="inlineStr">
        <is>
          <t>Doesn't apply</t>
        </is>
      </c>
      <c r="S34" s="162" t="inlineStr">
        <is>
          <t>Doesn't apply</t>
        </is>
      </c>
      <c r="T34" s="162" t="inlineStr">
        <is>
          <t>Doesn't apply</t>
        </is>
      </c>
      <c r="U34" s="162" t="inlineStr">
        <is>
          <t>Doesn't apply</t>
        </is>
      </c>
      <c r="V34" s="162" t="inlineStr">
        <is>
          <t>Doesn't apply</t>
        </is>
      </c>
      <c r="W34" s="162" t="inlineStr">
        <is>
          <t>Published survey</t>
        </is>
      </c>
      <c r="X34" s="162" t="inlineStr">
        <is>
          <t>Doesn't apply</t>
        </is>
      </c>
      <c r="Y34" s="162" t="inlineStr">
        <is>
          <t>Doesn't apply</t>
        </is>
      </c>
      <c r="Z34" s="162" t="inlineStr">
        <is>
          <t>Not a recommender, a framework for deciding HOW to evaluate one</t>
        </is>
      </c>
      <c r="AA34" s="162" t="inlineStr">
        <is>
          <t>Consolidates the field into FEVR, a framework organising goals, methods, data and metrics</t>
        </is>
      </c>
      <c r="AB34" s="162" t="inlineStr">
        <is>
          <t>A framework, not an experiment. Careful and widely adopted</t>
        </is>
      </c>
      <c r="AC34" s="162" t="inlineStr">
        <is>
          <t>Take: the argument that THE EVALUATION MUST FOLLOW THE GOAL. Our goal is correctness with a stated reason, not ranking accuracy, so precision and recall are the wrong instruments.
Leave: the metric catalogue for interaction-based systems.
They can't: it is a framing source.
My idea: this is the answer to 'why no precision and recall'. A 283-citation paper says match the evaluation to the goal. Ours is verifiable correctness. One sentence, fully defended.</t>
        </is>
      </c>
    </row>
    <row r="35" ht="150" customHeight="1" s="49">
      <c r="A35" s="162" t="inlineStr">
        <is>
          <t>27</t>
        </is>
      </c>
      <c r="B35" s="157" t="inlineStr">
        <is>
          <t>D</t>
        </is>
      </c>
      <c r="C35" s="163" t="inlineStr">
        <is>
          <t>Lee (lululab)</t>
        </is>
      </c>
      <c r="D35" s="162" t="inlineStr">
        <is>
          <t>Deep learning-based skin care product recommendation: A focus on cosmetic ingredient analysis and facial skin conditions</t>
        </is>
      </c>
      <c r="E35" s="162" t="inlineStr">
        <is>
          <t>Jinhee Lee, Huisu Yoon, Semin Kim, Chanhyeok Lee, Jongha Lee, Sangwook Yoo</t>
        </is>
      </c>
      <c r="F35" s="162" t="inlineStr">
        <is>
          <t>2024</t>
        </is>
      </c>
      <c r="G35" s="162" t="n"/>
      <c r="H35" s="162" t="inlineStr">
        <is>
          <t>Journal of Cosmetic Dermatology (Wiley)</t>
        </is>
      </c>
      <c r="I35" s="162" t="inlineStr">
        <is>
          <t>A real clinical journal, better standing than most of group A. THE DEEP LEARNING RIVAL we have to answer directly</t>
        </is>
      </c>
      <c r="J35" s="162" t="inlineStr">
        <is>
          <t>They never say</t>
        </is>
      </c>
      <c r="K35" s="162" t="inlineStr">
        <is>
          <t>lululab Inc., Seoul, South Korea. Corporate R&amp;D</t>
        </is>
      </c>
      <c r="L35" s="162" t="inlineStr">
        <is>
          <t>doi.org/10.1111/jocd.16218</t>
        </is>
      </c>
      <c r="M35" s="162" t="inlineStr">
        <is>
          <t>Cosmetic recommendation ignores what ingredients actually do. Estimate efficacy from the ingredient list with a neural net, combine with AI skin analysis.</t>
        </is>
      </c>
      <c r="N35" s="162" t="inlineStr">
        <is>
          <t>Consumers, through a commercial product</t>
        </is>
      </c>
      <c r="O35" s="162" t="inlineStr">
        <is>
          <t>Cosmetic ingredient lists and facial skin images. Proprietary</t>
        </is>
      </c>
      <c r="P35" s="162" t="inlineStr">
        <is>
          <t>Abstract doesn't say</t>
        </is>
      </c>
      <c r="Q35" s="162" t="inlineStr">
        <is>
          <t>Doesn't apply</t>
        </is>
      </c>
      <c r="R35" s="162" t="inlineStr">
        <is>
          <t>Doesn't apply</t>
        </is>
      </c>
      <c r="S35" s="162" t="inlineStr">
        <is>
          <t>Doesn't apply</t>
        </is>
      </c>
      <c r="T35" s="162" t="inlineStr">
        <is>
          <t>Doesn't apply</t>
        </is>
      </c>
      <c r="U35" s="162" t="inlineStr">
        <is>
          <t>Doesn't apply</t>
        </is>
      </c>
      <c r="V35" s="162" t="inlineStr">
        <is>
          <t>Doesn't apply</t>
        </is>
      </c>
      <c r="W35" s="162" t="inlineStr">
        <is>
          <t>No. Corporate</t>
        </is>
      </c>
      <c r="X35" s="162" t="inlineStr">
        <is>
          <t>Doesn't apply</t>
        </is>
      </c>
      <c r="Y35" s="162" t="inlineStr">
        <is>
          <t>A deep neural network plus AI skin analysis. No ontology, no reasoning, no outside data</t>
        </is>
      </c>
      <c r="Z35" s="162" t="inlineStr">
        <is>
          <t>A neural net estimates a product's efficacy FROM ITS INGREDIENTS. Skin analysis reads your face. The two combine into a recommendation</t>
        </is>
      </c>
      <c r="AA35" s="162" t="inlineStr">
        <is>
          <t>Reported as effective for various skin issues</t>
        </is>
      </c>
      <c r="AB35" s="162" t="inlineStr">
        <is>
          <t>Figures not in the abstract. Can't fully assess a corporate paper</t>
        </is>
      </c>
      <c r="AC35" s="162" t="inlineStr">
        <is>
          <t>Take: nothing technical. It DOES OUR PROBLEM WITHOUT AN ONTOLOGY, so we must answer it honestly.
Leave: the whole approach. No labelled efficacy data, no face images.
They can't: give a REASON. They learn ingredient-to-efficacy from data, we derive it from the EU register plus stated rules. They give a weight, we give the ingredient, its function and the annex entry. They need proprietary training data, we need none. They can't handle an unseen ingredient, we say it is in the register or it is not. They cite nothing, we cite Regulation 1223/2009. They ignore availability, we make it core. Be honest though: with enough labelled data a model probably beats rules on accuracy.
My idea: use a model like theirs as a HYPOTHESIS GENERATOR and our ontology as the CHECK. Train something small on our 11,802 formulas, take its confident predictions, test them against CosIng. Where they disagree, that set is a result, and only we can compute it because we have both halves.</t>
        </is>
      </c>
    </row>
    <row r="36" ht="150" customHeight="1" s="49">
      <c r="A36" s="162" t="inlineStr">
        <is>
          <t>28</t>
        </is>
      </c>
      <c r="B36" s="157" t="inlineStr">
        <is>
          <t>D</t>
        </is>
      </c>
      <c r="C36" s="163" t="inlineStr">
        <is>
          <t>Ali (ontology vs LLM)</t>
        </is>
      </c>
      <c r="D36" s="162" t="inlineStr">
        <is>
          <t>Ontology-grounded knowledge graphs for mitigating hallucinations in large language models for clinical question answering</t>
        </is>
      </c>
      <c r="E36" s="162" t="inlineStr">
        <is>
          <t>Mohamed Ali et al.</t>
        </is>
      </c>
      <c r="F36" s="162" t="inlineStr">
        <is>
          <t>2026</t>
        </is>
      </c>
      <c r="G36" s="162" t="n"/>
      <c r="H36" s="162" t="inlineStr">
        <is>
          <t>Journal of Biomedical Informatics (Elsevier)</t>
        </is>
      </c>
      <c r="I36" s="162" t="inlineStr">
        <is>
          <t>Strong specialist journal. THE ANSWER TO 'WHY NOT JUST ASK AN LLM'. Put it in the introduction</t>
        </is>
      </c>
      <c r="J36" s="162" t="inlineStr">
        <is>
          <t>11</t>
        </is>
      </c>
      <c r="K36" s="162" t="inlineStr">
        <is>
          <t>Egyptian hospitals and institutions</t>
        </is>
      </c>
      <c r="L36" s="162" t="inlineStr">
        <is>
          <t>consensus.app/papers/details/d7c871f2bb3857439c1bfa563bebf37a</t>
        </is>
      </c>
      <c r="M36" s="162" t="inlineStr">
        <is>
          <t>LLMs make things up, which makes them unusable in medicine. Ground them in an ontology and see if that fixes it.</t>
        </is>
      </c>
      <c r="N36" s="162" t="inlineStr">
        <is>
          <t>Clinicians</t>
        </is>
      </c>
      <c r="O36" s="162" t="inlineStr">
        <is>
          <t>Clinical and hospital data from several Egyptian institutions</t>
        </is>
      </c>
      <c r="P36" s="162" t="inlineStr">
        <is>
          <t>60 clinical questions with reference answers from five peer-reviewed hospital studies</t>
        </is>
      </c>
      <c r="Q36" s="162" t="inlineStr">
        <is>
          <t>Not stated</t>
        </is>
      </c>
      <c r="R36" s="162" t="inlineStr">
        <is>
          <t>They never say</t>
        </is>
      </c>
      <c r="S36" s="162" t="inlineStr">
        <is>
          <t>They never say</t>
        </is>
      </c>
      <c r="T36" s="162" t="inlineStr">
        <is>
          <t>Clinical concepts</t>
        </is>
      </c>
      <c r="U36" s="162" t="inlineStr">
        <is>
          <t>Abstract doesn't say</t>
        </is>
      </c>
      <c r="V36" s="162" t="inlineStr">
        <is>
          <t>The ontology forces the model to stay inside the graph when it answers</t>
        </is>
      </c>
      <c r="W36" s="162" t="inlineStr">
        <is>
          <t>Not stated</t>
        </is>
      </c>
      <c r="X36" s="162" t="inlineStr">
        <is>
          <t>From clinical and hospital data</t>
        </is>
      </c>
      <c r="Y36" s="162" t="inlineStr">
        <is>
          <t>A GraphRAG setup: retrieval over an ontology-grounded graph feeding an LLM. RDF and OWL for the ontology</t>
        </is>
      </c>
      <c r="Z36" s="162" t="inlineStr">
        <is>
          <t>The model can only answer from what the graph says, so it cannot invent</t>
        </is>
      </c>
      <c r="AA36" s="162" t="inlineStr">
        <is>
          <t>Three conditions on the same 60 questions against external reference answers</t>
        </is>
      </c>
      <c r="AB36" s="162" t="inlineStr">
        <is>
          <t>ChatGPT-4: 37% correct, ~63% hallucinated. DeepSeek-R1: 52%. ONTOLOGY-GROUNDED: 98% (59 of 60), 1.7% hallucination. A proper controlled comparison. Holds up</t>
        </is>
      </c>
      <c r="AC36" s="162" t="inlineStr">
        <is>
          <t>Take: the citation that answers the question every supervisor asks in 2026. In a safety-relevant domain, grounding a model in an ontology cut hallucination from 63% to 1.7%. That is the difference between deployable and not.
Leave: the clinical QA application.
They can't: it is our strongest supporting citation, not a competitor.
My idea: skincare is safety-relevant too, and our ontology is the grounding. That is the future work sentence.</t>
        </is>
      </c>
    </row>
  </sheetData>
  <autoFilter ref="A4:AC36"/>
  <mergeCells count="12">
    <mergeCell ref="A13:AC13"/>
    <mergeCell ref="AA3:AB3"/>
    <mergeCell ref="O3:P3"/>
    <mergeCell ref="A1:AC1"/>
    <mergeCell ref="A5:AC5"/>
    <mergeCell ref="AC3"/>
    <mergeCell ref="A22:AC22"/>
    <mergeCell ref="A30:AC30"/>
    <mergeCell ref="X3:Z3"/>
    <mergeCell ref="M3:N3"/>
    <mergeCell ref="Q3:W3"/>
    <mergeCell ref="A3:L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
  <sheetViews>
    <sheetView showGridLines="0" zoomScale="90" workbookViewId="0">
      <pane xSplit="1" ySplit="4" topLeftCell="B5" activePane="bottomRight" state="frozen"/>
      <selection pane="topRight" activeCell="A1" sqref="A1"/>
      <selection pane="bottomLeft" activeCell="A1" sqref="A1"/>
      <selection pane="bottomRight" activeCell="A12" sqref="A12"/>
    </sheetView>
  </sheetViews>
  <sheetFormatPr baseColWidth="8" defaultRowHeight="14.5"/>
  <cols>
    <col width="30" customWidth="1" style="49" min="1" max="1"/>
    <col width="16" customWidth="1" style="49" min="2" max="9"/>
    <col width="28" customWidth="1" style="49" min="10" max="10"/>
  </cols>
  <sheetData>
    <row r="1" ht="36" customHeight="1" s="49">
      <c r="A1" s="154" t="inlineStr">
        <is>
          <t xml:space="preserve">  7ad ba3ed</t>
        </is>
      </c>
      <c r="B1" s="155" t="n"/>
      <c r="C1" s="155" t="n"/>
      <c r="D1" s="155" t="n"/>
      <c r="E1" s="155" t="n"/>
      <c r="F1" s="155" t="n"/>
      <c r="G1" s="155" t="n"/>
      <c r="H1" s="155" t="n"/>
      <c r="I1" s="155" t="n"/>
      <c r="J1" s="155" t="n"/>
    </row>
    <row r="2" ht="6" customHeight="1" s="49">
      <c r="A2" s="156" t="n"/>
      <c r="B2" s="156" t="n"/>
      <c r="C2" s="156" t="n"/>
      <c r="D2" s="156" t="n"/>
      <c r="E2" s="156" t="n"/>
      <c r="F2" s="156" t="n"/>
      <c r="G2" s="156" t="n"/>
      <c r="H2" s="156" t="n"/>
      <c r="I2" s="156" t="n"/>
      <c r="J2" s="156" t="n"/>
    </row>
    <row r="3">
      <c r="A3" s="156" t="n"/>
      <c r="B3" s="156" t="n"/>
      <c r="C3" s="156" t="n"/>
      <c r="D3" s="156" t="n"/>
      <c r="E3" s="156" t="n"/>
      <c r="F3" s="156" t="n"/>
      <c r="G3" s="156" t="n"/>
      <c r="H3" s="156" t="n"/>
      <c r="I3" s="156" t="n"/>
      <c r="J3" s="156" t="n"/>
    </row>
    <row r="4" ht="40" customHeight="1" s="49">
      <c r="A4" s="164" t="n"/>
      <c r="B4" s="165" t="inlineStr">
        <is>
          <t>Moe &amp; Aung
2014</t>
        </is>
      </c>
      <c r="C4" s="165" t="inlineStr">
        <is>
          <t>OntoCosmetic
2021/23</t>
        </is>
      </c>
      <c r="D4" s="165" t="inlineStr">
        <is>
          <t>Hansanie
2024</t>
        </is>
      </c>
      <c r="E4" s="165" t="inlineStr">
        <is>
          <t>Abesova
2023</t>
        </is>
      </c>
      <c r="F4" s="165" t="inlineStr">
        <is>
          <t>bit-Tech
2025</t>
        </is>
      </c>
      <c r="G4" s="165" t="inlineStr">
        <is>
          <t>Utari
2023</t>
        </is>
      </c>
      <c r="H4" s="165" t="inlineStr">
        <is>
          <t>TOXIN
2025</t>
        </is>
      </c>
      <c r="I4" s="165" t="inlineStr">
        <is>
          <t>HaCKG
2025</t>
        </is>
      </c>
      <c r="J4" s="165" t="inlineStr">
        <is>
          <t>US</t>
        </is>
      </c>
    </row>
    <row r="5" ht="32" customHeight="1" s="49">
      <c r="A5" s="166" t="inlineStr">
        <is>
          <t>Properly peer reviewed?</t>
        </is>
      </c>
      <c r="B5" s="167" t="inlineStr">
        <is>
          <t>weak journal</t>
        </is>
      </c>
      <c r="C5" s="167" t="inlineStr">
        <is>
          <t>yes</t>
        </is>
      </c>
      <c r="D5" s="167" t="inlineStr">
        <is>
          <t>yes</t>
        </is>
      </c>
      <c r="E5" s="167" t="inlineStr">
        <is>
          <t>no, students</t>
        </is>
      </c>
      <c r="F5" s="167" t="inlineStr">
        <is>
          <t>yes</t>
        </is>
      </c>
      <c r="G5" s="167" t="inlineStr">
        <is>
          <t>yes</t>
        </is>
      </c>
      <c r="H5" s="167" t="inlineStr">
        <is>
          <t>yes</t>
        </is>
      </c>
      <c r="I5" s="167" t="inlineStr">
        <is>
          <t>yes</t>
        </is>
      </c>
      <c r="J5" s="166" t="inlineStr">
        <is>
          <t>will be</t>
        </is>
      </c>
    </row>
    <row r="6" ht="32" customHeight="1" s="49">
      <c r="A6" s="166" t="inlineStr">
        <is>
          <t>Can you download the ontology?</t>
        </is>
      </c>
      <c r="B6" s="167" t="inlineStr">
        <is>
          <t>no</t>
        </is>
      </c>
      <c r="C6" s="167" t="inlineStr">
        <is>
          <t>YES</t>
        </is>
      </c>
      <c r="D6" s="167" t="inlineStr">
        <is>
          <t>no</t>
        </is>
      </c>
      <c r="E6" s="167" t="inlineStr">
        <is>
          <t>no</t>
        </is>
      </c>
      <c r="F6" s="167" t="inlineStr">
        <is>
          <t>?</t>
        </is>
      </c>
      <c r="G6" s="167" t="inlineStr">
        <is>
          <t>no</t>
        </is>
      </c>
      <c r="H6" s="167" t="inlineStr">
        <is>
          <t>YES</t>
        </is>
      </c>
      <c r="I6" s="167" t="inlineStr">
        <is>
          <t>?</t>
        </is>
      </c>
      <c r="J6" s="166" t="inlineStr">
        <is>
          <t>yes, planned</t>
        </is>
      </c>
    </row>
    <row r="7" ht="32" customHeight="1" s="49">
      <c r="A7" s="166" t="inlineStr">
        <is>
          <t>Followed a named method?</t>
        </is>
      </c>
      <c r="B7" s="167" t="inlineStr">
        <is>
          <t>8 steps, unnamed</t>
        </is>
      </c>
      <c r="C7" s="167" t="inlineStr">
        <is>
          <t>no</t>
        </is>
      </c>
      <c r="D7" s="167" t="inlineStr">
        <is>
          <t>no</t>
        </is>
      </c>
      <c r="E7" s="167" t="inlineStr">
        <is>
          <t>middle out</t>
        </is>
      </c>
      <c r="F7" s="167" t="inlineStr">
        <is>
          <t>METHONTOLOGY</t>
        </is>
      </c>
      <c r="G7" s="167" t="inlineStr">
        <is>
          <t>METHONTOLOGY</t>
        </is>
      </c>
      <c r="H7" s="167" t="inlineStr">
        <is>
          <t>no</t>
        </is>
      </c>
      <c r="I7" s="167" t="inlineStr">
        <is>
          <t>no</t>
        </is>
      </c>
      <c r="J7" s="166" t="inlineStr">
        <is>
          <t>MOMo + LOT</t>
        </is>
      </c>
    </row>
    <row r="8" ht="32" customHeight="1" s="49">
      <c r="A8" s="166" t="inlineStr">
        <is>
          <t>How many products</t>
        </is>
      </c>
      <c r="B8" s="167" t="inlineStr">
        <is>
          <t>never say</t>
        </is>
      </c>
      <c r="C8" s="167" t="inlineStr">
        <is>
          <t>279</t>
        </is>
      </c>
      <c r="D8" s="167" t="inlineStr">
        <is>
          <t>never say</t>
        </is>
      </c>
      <c r="E8" s="167" t="inlineStr">
        <is>
          <t>some Sephora</t>
        </is>
      </c>
      <c r="F8" s="167" t="inlineStr">
        <is>
          <t>3,800</t>
        </is>
      </c>
      <c r="G8" s="167" t="inlineStr">
        <is>
          <t>62</t>
        </is>
      </c>
      <c r="H8" s="167" t="inlineStr">
        <is>
          <t>none</t>
        </is>
      </c>
      <c r="I8" s="167" t="inlineStr">
        <is>
          <t>some</t>
        </is>
      </c>
      <c r="J8" s="166" t="inlineStr">
        <is>
          <t>12,629</t>
        </is>
      </c>
    </row>
    <row r="9" ht="32" customHeight="1" s="49">
      <c r="A9" s="168" t="inlineStr">
        <is>
          <t>Ingredients tied to EU law?</t>
        </is>
      </c>
      <c r="B9" s="169" t="inlineStr">
        <is>
          <t>no</t>
        </is>
      </c>
      <c r="C9" s="169" t="inlineStr">
        <is>
          <t>no</t>
        </is>
      </c>
      <c r="D9" s="169" t="inlineStr">
        <is>
          <t>no</t>
        </is>
      </c>
      <c r="E9" s="169" t="inlineStr">
        <is>
          <t>no</t>
        </is>
      </c>
      <c r="F9" s="169" t="inlineStr">
        <is>
          <t>no</t>
        </is>
      </c>
      <c r="G9" s="169" t="inlineStr">
        <is>
          <t>no</t>
        </is>
      </c>
      <c r="H9" s="169" t="inlineStr">
        <is>
          <t>YES</t>
        </is>
      </c>
      <c r="I9" s="169" t="inlineStr">
        <is>
          <t>no</t>
        </is>
      </c>
      <c r="J9" s="168" t="inlineStr">
        <is>
          <t>YES, all 28,573</t>
        </is>
      </c>
    </row>
    <row r="10" ht="32" customHeight="1" s="49">
      <c r="A10" s="168" t="inlineStr">
        <is>
          <t>Records who claimed what?</t>
        </is>
      </c>
      <c r="B10" s="169" t="inlineStr">
        <is>
          <t>no</t>
        </is>
      </c>
      <c r="C10" s="169" t="inlineStr">
        <is>
          <t>rules only</t>
        </is>
      </c>
      <c r="D10" s="169" t="inlineStr">
        <is>
          <t>no</t>
        </is>
      </c>
      <c r="E10" s="169" t="inlineStr">
        <is>
          <t>no</t>
        </is>
      </c>
      <c r="F10" s="169" t="inlineStr">
        <is>
          <t>no</t>
        </is>
      </c>
      <c r="G10" s="169" t="inlineStr">
        <is>
          <t>no</t>
        </is>
      </c>
      <c r="H10" s="169" t="inlineStr">
        <is>
          <t>by source</t>
        </is>
      </c>
      <c r="I10" s="169" t="inlineStr">
        <is>
          <t>no</t>
        </is>
      </c>
      <c r="J10" s="168" t="inlineStr">
        <is>
          <t>YES, 4 levels</t>
        </is>
      </c>
    </row>
    <row r="11" ht="32" customHeight="1" s="49">
      <c r="A11" s="168" t="inlineStr">
        <is>
          <t>Knows if you can buy it?</t>
        </is>
      </c>
      <c r="B11" s="169" t="inlineStr">
        <is>
          <t>price band</t>
        </is>
      </c>
      <c r="C11" s="169" t="inlineStr">
        <is>
          <t>as a criterion</t>
        </is>
      </c>
      <c r="D11" s="169" t="inlineStr">
        <is>
          <t>no</t>
        </is>
      </c>
      <c r="E11" s="169" t="inlineStr">
        <is>
          <t>shop link</t>
        </is>
      </c>
      <c r="F11" s="169" t="inlineStr">
        <is>
          <t>no</t>
        </is>
      </c>
      <c r="G11" s="169" t="inlineStr">
        <is>
          <t>no</t>
        </is>
      </c>
      <c r="H11" s="169" t="inlineStr">
        <is>
          <t>no</t>
        </is>
      </c>
      <c r="I11" s="169" t="inlineStr">
        <is>
          <t>no</t>
        </is>
      </c>
      <c r="J11" s="168" t="inlineStr">
        <is>
          <t>YES, per shop, 2 currencies</t>
        </is>
      </c>
    </row>
    <row r="12" ht="32" customHeight="1" s="49">
      <c r="A12" s="166" t="inlineStr">
        <is>
          <t>Which market</t>
        </is>
      </c>
      <c r="B12" s="167" t="inlineStr">
        <is>
          <t>none</t>
        </is>
      </c>
      <c r="C12" s="167" t="inlineStr">
        <is>
          <t>none</t>
        </is>
      </c>
      <c r="D12" s="167" t="inlineStr">
        <is>
          <t>none</t>
        </is>
      </c>
      <c r="E12" s="167" t="inlineStr">
        <is>
          <t>none</t>
        </is>
      </c>
      <c r="F12" s="167" t="inlineStr">
        <is>
          <t>Indonesia</t>
        </is>
      </c>
      <c r="G12" s="167" t="inlineStr">
        <is>
          <t>Indonesia</t>
        </is>
      </c>
      <c r="H12" s="167" t="inlineStr">
        <is>
          <t>none</t>
        </is>
      </c>
      <c r="I12" s="167" t="inlineStr">
        <is>
          <t>none</t>
        </is>
      </c>
      <c r="J12" s="166" t="inlineStr">
        <is>
          <t>LEBANON</t>
        </is>
      </c>
    </row>
    <row r="13" ht="32" customHeight="1" s="49">
      <c r="A13" s="166" t="inlineStr">
        <is>
          <t>How the data got in</t>
        </is>
      </c>
      <c r="B13" s="167" t="inlineStr">
        <is>
          <t>by hand?</t>
        </is>
      </c>
      <c r="C13" s="167" t="inlineStr">
        <is>
          <t>by hand</t>
        </is>
      </c>
      <c r="D13" s="167" t="inlineStr">
        <is>
          <t>?</t>
        </is>
      </c>
      <c r="E13" s="167" t="inlineStr">
        <is>
          <t>OntoRefine</t>
        </is>
      </c>
      <c r="F13" s="167" t="inlineStr">
        <is>
          <t>scraping</t>
        </is>
      </c>
      <c r="G13" s="167" t="inlineStr">
        <is>
          <t>?</t>
        </is>
      </c>
      <c r="H13" s="167" t="inlineStr">
        <is>
          <t>R2RML</t>
        </is>
      </c>
      <c r="I13" s="167" t="inlineStr">
        <is>
          <t>?</t>
        </is>
      </c>
      <c r="J13" s="166" t="inlineStr">
        <is>
          <t>RML mapping</t>
        </is>
      </c>
    </row>
    <row r="14" ht="32" customHeight="1" s="49">
      <c r="A14" s="166" t="inlineStr">
        <is>
          <t>Reasoner used</t>
        </is>
      </c>
      <c r="B14" s="167" t="inlineStr">
        <is>
          <t>none</t>
        </is>
      </c>
      <c r="C14" s="167" t="inlineStr">
        <is>
          <t>SWRL</t>
        </is>
      </c>
      <c r="D14" s="167" t="inlineStr">
        <is>
          <t>Pellet</t>
        </is>
      </c>
      <c r="E14" s="167" t="inlineStr">
        <is>
          <t>class rules</t>
        </is>
      </c>
      <c r="F14" s="167" t="inlineStr">
        <is>
          <t>Fuseki</t>
        </is>
      </c>
      <c r="G14" s="167" t="inlineStr">
        <is>
          <t>none</t>
        </is>
      </c>
      <c r="H14" s="167" t="inlineStr">
        <is>
          <t>?</t>
        </is>
      </c>
      <c r="I14" s="167" t="inlineStr">
        <is>
          <t>neural</t>
        </is>
      </c>
      <c r="J14" s="166" t="inlineStr">
        <is>
          <t>HermiT + SHACL</t>
        </is>
      </c>
    </row>
    <row r="15" ht="32" customHeight="1" s="49">
      <c r="A15" s="166" t="inlineStr">
        <is>
          <t>Neural bit?</t>
        </is>
      </c>
      <c r="B15" s="167" t="inlineStr">
        <is>
          <t>no</t>
        </is>
      </c>
      <c r="C15" s="167" t="inlineStr">
        <is>
          <t>no</t>
        </is>
      </c>
      <c r="D15" s="167" t="inlineStr">
        <is>
          <t>CNN on your face</t>
        </is>
      </c>
      <c r="E15" s="167" t="inlineStr">
        <is>
          <t>no</t>
        </is>
      </c>
      <c r="F15" s="167" t="inlineStr">
        <is>
          <t>no</t>
        </is>
      </c>
      <c r="G15" s="167" t="inlineStr">
        <is>
          <t>no</t>
        </is>
      </c>
      <c r="H15" s="167" t="inlineStr">
        <is>
          <t>no</t>
        </is>
      </c>
      <c r="I15" s="167" t="inlineStr">
        <is>
          <t>graph attention</t>
        </is>
      </c>
      <c r="J15" s="166" t="inlineStr">
        <is>
          <t>no, future</t>
        </is>
      </c>
    </row>
    <row r="16" ht="32" customHeight="1" s="49">
      <c r="A16" s="166" t="inlineStr">
        <is>
          <t>Tested properly?</t>
        </is>
      </c>
      <c r="B16" s="167" t="inlineStr">
        <is>
          <t>no baseline</t>
        </is>
      </c>
      <c r="C16" s="167" t="inlineStr">
        <is>
          <t>no</t>
        </is>
      </c>
      <c r="D16" s="167" t="inlineStr">
        <is>
          <t>24 people</t>
        </is>
      </c>
      <c r="E16" s="167" t="inlineStr">
        <is>
          <t>no</t>
        </is>
      </c>
      <c r="F16" s="167" t="inlineStr">
        <is>
          <t>?</t>
        </is>
      </c>
      <c r="G16" s="167" t="inlineStr">
        <is>
          <t>queries only</t>
        </is>
      </c>
      <c r="H16" s="167" t="inlineStr">
        <is>
          <t>use cases</t>
        </is>
      </c>
      <c r="I16" s="167" t="inlineStr">
        <is>
          <t>benchmarks</t>
        </is>
      </c>
      <c r="J16" s="166" t="inlineStr">
        <is>
          <t>4 ways, planned</t>
        </is>
      </c>
    </row>
    <row r="17" ht="32" customHeight="1" s="49">
      <c r="A17" s="166" t="inlineStr">
        <is>
          <t>What it's really for</t>
        </is>
      </c>
      <c r="B17" s="167" t="inlineStr">
        <is>
          <t>problem to product</t>
        </is>
      </c>
      <c r="C17" s="167" t="inlineStr">
        <is>
          <t>a cream that doesn't split</t>
        </is>
      </c>
      <c r="D17" s="167" t="inlineStr">
        <is>
          <t>grading acne</t>
        </is>
      </c>
      <c r="E17" s="167" t="inlineStr">
        <is>
          <t>a routine</t>
        </is>
      </c>
      <c r="F17" s="167" t="inlineStr">
        <is>
          <t>Indonesian shops</t>
        </is>
      </c>
      <c r="G17" s="167" t="inlineStr">
        <is>
          <t>proof of concept</t>
        </is>
      </c>
      <c r="H17" s="167" t="inlineStr">
        <is>
          <t>animal-free safety</t>
        </is>
      </c>
      <c r="I17" s="167" t="inlineStr">
        <is>
          <t>predicting halal</t>
        </is>
      </c>
      <c r="J17" s="166" t="inlineStr">
        <is>
          <t>buying skincare in Lebanon, with a reason</t>
        </is>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3"/>
  <sheetViews>
    <sheetView showGridLines="0" zoomScale="90" workbookViewId="0">
      <selection activeCell="B33" sqref="B33:K33"/>
    </sheetView>
  </sheetViews>
  <sheetFormatPr baseColWidth="8" defaultRowHeight="14.5"/>
  <cols>
    <col width="3" customWidth="1" style="49" min="1" max="1"/>
    <col width="26" customWidth="1" style="49" min="2" max="2"/>
    <col width="4" customWidth="1" style="49" min="3" max="3"/>
    <col width="26" customWidth="1" style="49" min="4" max="4"/>
    <col width="4" customWidth="1" style="49" min="5" max="5"/>
    <col width="26" customWidth="1" style="49" min="6" max="6"/>
    <col width="4" customWidth="1" style="49" min="7" max="7"/>
    <col width="26" customWidth="1" style="49" min="8" max="8"/>
    <col width="4" customWidth="1" style="49" min="9" max="9"/>
    <col width="26" customWidth="1" style="49" min="10" max="10"/>
    <col width="4" customWidth="1" style="49" min="11" max="11"/>
    <col width="3" customWidth="1" style="49" min="12" max="12"/>
  </cols>
  <sheetData>
    <row r="1" ht="36" customHeight="1" s="49">
      <c r="A1" s="154" t="inlineStr">
        <is>
          <t xml:space="preserve">  My ontology expected </t>
        </is>
      </c>
      <c r="B1" s="155" t="n"/>
      <c r="C1" s="155" t="n"/>
      <c r="D1" s="155" t="n"/>
      <c r="E1" s="155" t="n"/>
      <c r="F1" s="155" t="n"/>
      <c r="G1" s="155" t="n"/>
      <c r="H1" s="155" t="n"/>
      <c r="I1" s="155" t="n"/>
      <c r="J1" s="155" t="n"/>
      <c r="K1" s="155" t="n"/>
      <c r="L1" s="155" t="n"/>
    </row>
    <row r="2" ht="22" customHeight="1" s="49">
      <c r="A2" s="170" t="n"/>
      <c r="B2" s="156" t="n"/>
      <c r="C2" s="156" t="n"/>
      <c r="D2" s="156" t="n"/>
      <c r="E2" s="156" t="n"/>
      <c r="F2" s="156" t="n"/>
      <c r="G2" s="156" t="n"/>
      <c r="H2" s="156" t="n"/>
      <c r="I2" s="156" t="n"/>
      <c r="J2" s="156" t="n"/>
      <c r="K2" s="156" t="n"/>
      <c r="L2" s="156" t="n"/>
    </row>
    <row r="3" ht="6" customHeight="1" s="49">
      <c r="A3" s="156" t="n"/>
      <c r="B3" s="156" t="n"/>
      <c r="C3" s="156" t="n"/>
      <c r="D3" s="156" t="n"/>
      <c r="E3" s="156" t="n"/>
      <c r="F3" s="156" t="n"/>
      <c r="G3" s="156" t="n"/>
      <c r="H3" s="156" t="n"/>
      <c r="I3" s="156" t="n"/>
      <c r="J3" s="156" t="n"/>
      <c r="K3" s="156" t="n"/>
      <c r="L3" s="156" t="n"/>
    </row>
    <row r="4">
      <c r="A4" s="156" t="n"/>
      <c r="B4" s="156" t="n"/>
      <c r="C4" s="156" t="n"/>
      <c r="D4" s="156" t="n"/>
      <c r="E4" s="156" t="n"/>
      <c r="F4" s="156" t="n"/>
      <c r="G4" s="156" t="n"/>
      <c r="H4" s="156" t="n"/>
      <c r="I4" s="156" t="n"/>
      <c r="J4" s="156" t="n"/>
      <c r="K4" s="156" t="n"/>
      <c r="L4" s="156" t="n"/>
    </row>
    <row r="5" ht="26" customHeight="1" s="49">
      <c r="A5" s="161" t="n"/>
      <c r="B5" s="171" t="inlineStr">
        <is>
          <t>1.  How one product gets from our CSV into an answer</t>
        </is>
      </c>
      <c r="C5" s="161" t="n"/>
      <c r="D5" s="161" t="n"/>
      <c r="E5" s="161" t="n"/>
      <c r="F5" s="161" t="n"/>
      <c r="G5" s="161" t="n"/>
      <c r="H5" s="161" t="n"/>
      <c r="I5" s="161" t="n"/>
      <c r="J5" s="161" t="n"/>
      <c r="K5" s="161" t="n"/>
      <c r="L5" s="161" t="n"/>
    </row>
    <row r="6" ht="58" customHeight="1" s="49">
      <c r="A6" s="158" t="n"/>
      <c r="B6" s="172" t="inlineStr">
        <is>
          <t>ONE CSV ROW
12,629 of them, 42 columns</t>
        </is>
      </c>
      <c r="C6" s="157" t="inlineStr">
        <is>
          <t>→</t>
        </is>
      </c>
      <c r="D6" s="172" t="inlineStr">
        <is>
          <t>A MAPPING FILE
says which column becomes which property. Morph-KGC reads it and writes the triples</t>
        </is>
      </c>
      <c r="E6" s="157" t="inlineStr">
        <is>
          <t>→</t>
        </is>
      </c>
      <c r="F6" s="172" t="inlineStr">
        <is>
          <t>GRAPHDB
one box per source: skinsort, lb-retail, lb-origin, cosing, evidence</t>
        </is>
      </c>
      <c r="G6" s="157" t="inlineStr">
        <is>
          <t>→</t>
        </is>
      </c>
      <c r="H6" s="172" t="inlineStr">
        <is>
          <t>THE REASONER (HermiT)
works out which products belong to each rule-defined class</t>
        </is>
      </c>
      <c r="I6" s="157" t="inlineStr">
        <is>
          <t>→</t>
        </is>
      </c>
      <c r="J6" s="172" t="inlineStr">
        <is>
          <t>A SPARQL QUESTION
'oily skin, no allergens, under $20, buyable in Beirut'</t>
        </is>
      </c>
      <c r="K6" s="158" t="n"/>
      <c r="L6" s="158" t="n"/>
    </row>
    <row r="7" ht="34" customHeight="1" s="49">
      <c r="A7" s="156" t="n"/>
      <c r="B7" s="173" t="n"/>
      <c r="C7" s="156" t="n"/>
      <c r="D7" s="156" t="n"/>
      <c r="E7" s="156" t="n"/>
      <c r="F7" s="156" t="n"/>
      <c r="G7" s="156" t="n"/>
      <c r="H7" s="156" t="n"/>
      <c r="I7" s="156" t="n"/>
      <c r="J7" s="156" t="n"/>
      <c r="K7" s="156" t="n"/>
      <c r="L7" s="156" t="n"/>
    </row>
    <row r="8">
      <c r="A8" s="156" t="n"/>
      <c r="B8" s="156" t="n"/>
      <c r="C8" s="156" t="n"/>
      <c r="D8" s="156" t="n"/>
      <c r="E8" s="156" t="n"/>
      <c r="F8" s="156" t="n"/>
      <c r="G8" s="156" t="n"/>
      <c r="H8" s="156" t="n"/>
      <c r="I8" s="156" t="n"/>
      <c r="J8" s="156" t="n"/>
      <c r="K8" s="156" t="n"/>
      <c r="L8" s="156" t="n"/>
    </row>
    <row r="9" ht="26" customHeight="1" s="49">
      <c r="A9" s="161" t="n"/>
      <c r="B9" s="171" t="inlineStr">
        <is>
          <t>2.  Four modules, because the four parts change at different speeds</t>
        </is>
      </c>
      <c r="C9" s="161" t="n"/>
      <c r="D9" s="161" t="n"/>
      <c r="E9" s="161" t="n"/>
      <c r="F9" s="161" t="n"/>
      <c r="G9" s="161" t="n"/>
      <c r="H9" s="161" t="n"/>
      <c r="I9" s="161" t="n"/>
      <c r="J9" s="161" t="n"/>
      <c r="K9" s="161" t="n"/>
      <c r="L9" s="161" t="n"/>
    </row>
    <row r="10" ht="40" customHeight="1" s="49">
      <c r="A10" s="174" t="n"/>
      <c r="B10" s="175" t="inlineStr">
        <is>
          <t>CORE
changes almost never</t>
        </is>
      </c>
      <c r="C10" s="174" t="n"/>
      <c r="D10" s="175" t="inlineStr">
        <is>
          <t>PRODUCT
changes with the market</t>
        </is>
      </c>
      <c r="E10" s="174" t="n"/>
      <c r="F10" s="175" t="inlineStr">
        <is>
          <t>EVIDENCE
the contribution</t>
        </is>
      </c>
      <c r="G10" s="174" t="n"/>
      <c r="H10" s="175" t="inlineStr">
        <is>
          <t>LEBANON
the market</t>
        </is>
      </c>
      <c r="I10" s="174" t="n"/>
      <c r="J10" s="174" t="n"/>
      <c r="K10" s="174" t="n"/>
      <c r="L10" s="174" t="n"/>
    </row>
    <row r="11" ht="63.5" customHeight="1" s="49">
      <c r="A11" s="158" t="n"/>
      <c r="B11" s="162" t="inlineStr">
        <is>
          <t>• SkinType: oily, dry, normal, combination</t>
        </is>
      </c>
      <c r="C11" s="158" t="n"/>
      <c r="D11" s="162" t="inlineStr">
        <is>
          <t>• Product → Cleanser, Moisturiser (SunCare under it), Serum, Toner, Exfoliant, Mask, EyeCare, Treatment</t>
        </is>
      </c>
      <c r="E11" s="158" t="n"/>
      <c r="F11" s="162" t="inlineStr">
        <is>
          <t>• Claim: a statement about a product, carrying who said it, the exact sentence, the date, and how much we trust it</t>
        </is>
      </c>
      <c r="G11" s="158" t="n"/>
      <c r="H11" s="162" t="inlineStr">
        <is>
          <t>• LebaneseShop</t>
        </is>
      </c>
      <c r="I11" s="158" t="n"/>
      <c r="J11" s="158" t="n"/>
      <c r="K11" s="158" t="n"/>
      <c r="L11" s="158" t="n"/>
    </row>
    <row r="12" ht="73.5" customHeight="1" s="49">
      <c r="A12" s="158" t="n"/>
      <c r="B12" s="162" t="inlineStr">
        <is>
          <t>• Sensitivity</t>
        </is>
      </c>
      <c r="C12" s="158" t="n"/>
      <c r="D12" s="162" t="inlineStr">
        <is>
          <t>• Ingredient: one per CosIng entry, named by ID not spelling</t>
        </is>
      </c>
      <c r="E12" s="158" t="n"/>
      <c r="F12" s="162" t="inlineStr">
        <is>
          <t>• EvidenceLevel: 1 manufacturer, 2 shop, 3 weaker source, 4 worked out from the formula</t>
        </is>
      </c>
      <c r="G12" s="158" t="n"/>
      <c r="H12" s="162" t="inlineStr">
        <is>
          <t>• ConsumerNeed: a need as its own thing. 'A routine under $20 a month'. 'Buyable in one pharmacy'. From AliCoCo</t>
        </is>
      </c>
      <c r="I12" s="158" t="n"/>
      <c r="J12" s="158" t="n"/>
      <c r="K12" s="158" t="n"/>
      <c r="L12" s="158" t="n"/>
    </row>
    <row r="13" ht="58.5" customHeight="1" s="49">
      <c r="A13" s="158" t="n"/>
      <c r="B13" s="162" t="inlineStr">
        <is>
          <t>• SkinConcern: acne, dryness, redness, dark marks… → aligned to DermO</t>
        </is>
      </c>
      <c r="C13" s="158" t="n"/>
      <c r="D13" s="162" t="inlineStr">
        <is>
          <t>• IngredientListing: an ingredient AT A POSITION in one product</t>
        </is>
      </c>
      <c r="E13" s="158" t="n"/>
      <c r="F13" s="162" t="inlineStr">
        <is>
          <t>• prov:Agent: Manufacturer, Retailer, our own inference</t>
        </is>
      </c>
      <c r="G13" s="158" t="n"/>
      <c r="H13" s="162" t="inlineStr">
        <is>
          <t>• The six rule-defined classes (section 4)</t>
        </is>
      </c>
      <c r="I13" s="158" t="n"/>
      <c r="J13" s="158" t="n"/>
      <c r="K13" s="158" t="n"/>
      <c r="L13" s="158" t="n"/>
    </row>
    <row r="14" ht="44" customHeight="1" s="49">
      <c r="A14" s="158" t="n"/>
      <c r="B14" s="162" t="inlineStr">
        <is>
          <t>• Benefit (SKOS words, not classes)</t>
        </is>
      </c>
      <c r="C14" s="158" t="n"/>
      <c r="D14" s="162" t="inlineStr">
        <is>
          <t>• Brand → linked to Wikidata</t>
        </is>
      </c>
      <c r="E14" s="158" t="n"/>
      <c r="F14" s="162" t="inlineStr">
        <is>
          <t>• Built on PROV-O, a W3C standard. O'Sullivan 2025 did the same with LOT</t>
        </is>
      </c>
      <c r="G14" s="158" t="n"/>
      <c r="H14" s="162" t="inlineStr">
        <is>
          <t>• Imports the other three modules</t>
        </is>
      </c>
      <c r="I14" s="158" t="n"/>
      <c r="J14" s="158" t="n"/>
      <c r="K14" s="158" t="n"/>
      <c r="L14" s="158" t="n"/>
    </row>
    <row r="15" ht="44" customHeight="1" s="49">
      <c r="A15" s="158" t="n"/>
      <c r="B15" s="162" t="inlineStr">
        <is>
          <t>• IngredientFunction: emollient, humectant, preservative, UV filter… names from CosIng</t>
        </is>
      </c>
      <c r="C15" s="158" t="n"/>
      <c r="D15" s="162" t="inlineStr">
        <is>
          <t>• Offer: one price, one shop, one date. Separate from the product</t>
        </is>
      </c>
      <c r="E15" s="158" t="n"/>
      <c r="F15" s="162" t="n"/>
      <c r="G15" s="158" t="n"/>
      <c r="H15" s="162" t="n"/>
      <c r="I15" s="158" t="n"/>
      <c r="J15" s="158" t="n"/>
      <c r="K15" s="158" t="n"/>
      <c r="L15" s="158" t="n"/>
    </row>
    <row r="16" ht="44" customHeight="1" s="49">
      <c r="A16" s="158" t="n"/>
      <c r="B16" s="162" t="inlineStr">
        <is>
          <t>• RegulatoryStatus: banned, restricted, allowed preservative… + the 26 declarable allergens</t>
        </is>
      </c>
      <c r="C16" s="158" t="n"/>
      <c r="D16" s="162" t="inlineStr">
        <is>
          <t>• Shop: online or physical</t>
        </is>
      </c>
      <c r="E16" s="158" t="n"/>
      <c r="F16" s="162" t="n"/>
      <c r="G16" s="158" t="n"/>
      <c r="H16" s="162" t="n"/>
      <c r="I16" s="158" t="n"/>
      <c r="J16" s="158" t="n"/>
      <c r="K16" s="158" t="n"/>
      <c r="L16" s="158" t="n"/>
    </row>
    <row r="17" ht="44" customHeight="1" s="49">
      <c r="A17" s="158" t="n"/>
      <c r="B17" s="162" t="inlineStr">
        <is>
          <t>• Annex II to VI (individuals, not classes)</t>
        </is>
      </c>
      <c r="C17" s="158" t="n"/>
      <c r="D17" s="162" t="inlineStr">
        <is>
          <t>• Country</t>
        </is>
      </c>
      <c r="E17" s="158" t="n"/>
      <c r="F17" s="162" t="n"/>
      <c r="G17" s="158" t="n"/>
      <c r="H17" s="162" t="n"/>
      <c r="I17" s="158" t="n"/>
      <c r="J17" s="158" t="n"/>
      <c r="K17" s="158" t="n"/>
      <c r="L17" s="158" t="n"/>
    </row>
    <row r="18" ht="44" customHeight="1" s="49">
      <c r="A18" s="158" t="n"/>
      <c r="B18" s="162" t="inlineStr">
        <is>
          <t>• Authority: European Commission, SCCS, later Lebanon</t>
        </is>
      </c>
      <c r="C18" s="158" t="n"/>
      <c r="D18" s="162" t="n"/>
      <c r="E18" s="158" t="n"/>
      <c r="F18" s="162" t="n"/>
      <c r="G18" s="158" t="n"/>
      <c r="H18" s="162" t="n"/>
      <c r="I18" s="158" t="n"/>
      <c r="J18" s="158" t="n"/>
      <c r="K18" s="158" t="n"/>
      <c r="L18" s="158" t="n"/>
    </row>
    <row r="19" ht="34" customHeight="1" s="49">
      <c r="A19" s="158" t="n"/>
      <c r="B19" s="163" t="inlineStr">
        <is>
          <t>Hansanie &amp; Silva split theirs into three for the same reason and said why. MOMo, the method we follow, is built around modules. Handing a dermatologist the CORE file alone is 40 lines, not 12,629 rows.</t>
        </is>
      </c>
      <c r="C19" s="158" t="n"/>
      <c r="D19" s="158" t="n"/>
      <c r="E19" s="158" t="n"/>
      <c r="F19" s="158" t="n"/>
      <c r="G19" s="158" t="n"/>
      <c r="H19" s="158" t="n"/>
      <c r="I19" s="158" t="n"/>
      <c r="J19" s="158" t="n"/>
      <c r="K19" s="158" t="n"/>
      <c r="L19" s="158" t="n"/>
    </row>
    <row r="20">
      <c r="A20" s="156" t="n"/>
      <c r="B20" s="156" t="n"/>
      <c r="C20" s="156" t="n"/>
      <c r="D20" s="156" t="n"/>
      <c r="E20" s="156" t="n"/>
      <c r="F20" s="156" t="n"/>
      <c r="G20" s="156" t="n"/>
      <c r="H20" s="156" t="n"/>
      <c r="I20" s="156" t="n"/>
      <c r="J20" s="156" t="n"/>
      <c r="K20" s="156" t="n"/>
      <c r="L20" s="156" t="n"/>
    </row>
    <row r="21" ht="26" customHeight="1" s="49">
      <c r="A21" s="161" t="n"/>
      <c r="B21" s="171" t="inlineStr">
        <is>
          <t>3.  One real product, drawn out. Cetaphil Moisturizing Lotion, sold by two Beirut shops</t>
        </is>
      </c>
      <c r="C21" s="161" t="n"/>
      <c r="D21" s="161" t="n"/>
      <c r="E21" s="161" t="n"/>
      <c r="F21" s="161" t="n"/>
      <c r="G21" s="161" t="n"/>
      <c r="H21" s="161" t="n"/>
      <c r="I21" s="161" t="n"/>
      <c r="J21" s="161" t="n"/>
      <c r="K21" s="161" t="n"/>
      <c r="L21" s="161" t="n"/>
    </row>
    <row r="22" ht="147" customHeight="1" s="49">
      <c r="A22" s="158" t="n"/>
      <c r="B22" s="172" t="inlineStr">
        <is>
          <t>PRODUCT
Cetaphil Moisturizing Lotion
brand → Cetaphil → Galderma (Wikidata)</t>
        </is>
      </c>
      <c r="C22" s="157" t="inlineStr">
        <is>
          <t>→</t>
        </is>
      </c>
      <c r="D22" s="172" t="inlineStr">
        <is>
          <t>hasListing → INGREDIENT LISTING
Niacinamide, position 3
→ Ingredient (CosIng 28769)
→ function: skin conditioning
→ restricted under: none</t>
        </is>
      </c>
      <c r="E22" s="157" t="inlineStr">
        <is>
          <t>→</t>
        </is>
      </c>
      <c r="F22" s="172" t="inlineStr">
        <is>
          <t>hasListing → INGREDIENT LISTING
Phenoxyethanol, position 11
→ Ingredient (CosIng 122-99-6)
→ function: preservative
→ restricted under Annex V/29, according to European Commission</t>
        </is>
      </c>
      <c r="G22" s="157" t="inlineStr">
        <is>
          <t>→</t>
        </is>
      </c>
      <c r="H22" s="172" t="inlineStr">
        <is>
          <t>hasClaim → CLAIM
'suitable for sensitive skin'
said by: Cetaphil (manufacturer)
level 1
read on cetaphil.com, 2026-03-14</t>
        </is>
      </c>
      <c r="I22" s="157" t="inlineStr">
        <is>
          <t>→</t>
        </is>
      </c>
      <c r="J22" s="172" t="inlineStr">
        <is>
          <t>offers → OFFER $8.66
seller: Sohati, 2026-03-14
offers → OFFER $32.36
seller: Feel22, 2026-03-14</t>
        </is>
      </c>
      <c r="K22" s="158" t="n"/>
      <c r="L22" s="158" t="n"/>
    </row>
    <row r="23" ht="34" customHeight="1" s="49">
      <c r="A23" s="158" t="n"/>
      <c r="B23" s="163" t="inlineStr">
        <is>
          <t>Three things a spreadsheet cannot do here. The ingredient carries its POSITION (INCI order is concentration order). The claim carries WHO said it and how much we trust them. And the price sits on the OFFER, not the product, so one lotion holds two Beirut prices at once.</t>
        </is>
      </c>
      <c r="C23" s="158" t="n"/>
      <c r="D23" s="158" t="n"/>
      <c r="E23" s="158" t="n"/>
      <c r="F23" s="158" t="n"/>
      <c r="G23" s="158" t="n"/>
      <c r="H23" s="158" t="n"/>
      <c r="I23" s="158" t="n"/>
      <c r="J23" s="158" t="n"/>
      <c r="K23" s="158" t="n"/>
      <c r="L23" s="158" t="n"/>
    </row>
    <row r="24">
      <c r="A24" s="156" t="n"/>
      <c r="B24" s="156" t="n"/>
      <c r="C24" s="156" t="n"/>
      <c r="D24" s="156" t="n"/>
      <c r="E24" s="156" t="n"/>
      <c r="F24" s="156" t="n"/>
      <c r="G24" s="156" t="n"/>
      <c r="H24" s="156" t="n"/>
      <c r="I24" s="156" t="n"/>
      <c r="J24" s="156" t="n"/>
      <c r="K24" s="156" t="n"/>
      <c r="L24" s="156" t="n"/>
    </row>
    <row r="25" ht="26" customHeight="1" s="49">
      <c r="A25" s="161" t="n"/>
      <c r="B25" s="171" t="inlineStr">
        <is>
          <t>4.  Six classes we never fill in by hand. We write the rule once, the reasoner finds the members.</t>
        </is>
      </c>
      <c r="C25" s="161" t="n"/>
      <c r="D25" s="161" t="n"/>
      <c r="E25" s="161" t="n"/>
      <c r="F25" s="161" t="n"/>
      <c r="G25" s="161" t="n"/>
      <c r="H25" s="161" t="n"/>
      <c r="I25" s="161" t="n"/>
      <c r="J25" s="161" t="n"/>
      <c r="K25" s="161" t="n"/>
      <c r="L25" s="161" t="n"/>
    </row>
    <row r="26" ht="24" customHeight="1" s="49">
      <c r="A26" s="174" t="n"/>
      <c r="B26" s="176" t="inlineStr">
        <is>
          <t>The class</t>
        </is>
      </c>
      <c r="C26" s="174" t="n"/>
      <c r="D26" s="176" t="inlineStr">
        <is>
          <t>The rule, in words</t>
        </is>
      </c>
      <c r="E26" s="174" t="n"/>
      <c r="F26" s="174" t="n"/>
      <c r="G26" s="174" t="n"/>
      <c r="H26" s="176" t="inlineStr">
        <is>
          <t>How many we expect</t>
        </is>
      </c>
      <c r="I26" s="174" t="n"/>
      <c r="J26" s="174" t="n"/>
      <c r="K26" s="174" t="n"/>
      <c r="L26" s="174" t="n"/>
    </row>
    <row r="27" ht="30" customHeight="1" s="49">
      <c r="A27" s="158" t="n"/>
      <c r="B27" s="163" t="inlineStr">
        <is>
          <t>SensitiveSafeProduct</t>
        </is>
      </c>
      <c r="C27" s="158" t="n"/>
      <c r="D27" s="163" t="inlineStr">
        <is>
          <t>no ingredient is one of the 26 declarable allergens</t>
        </is>
      </c>
      <c r="E27" s="158" t="n"/>
      <c r="F27" s="158" t="n"/>
      <c r="G27" s="158" t="n"/>
      <c r="H27" s="163" t="inlineStr">
        <is>
          <t>about 9,537</t>
        </is>
      </c>
      <c r="I27" s="158" t="n"/>
      <c r="J27" s="158" t="n"/>
      <c r="K27" s="158" t="n"/>
      <c r="L27" s="158" t="n"/>
    </row>
    <row r="28" ht="30" customHeight="1" s="49">
      <c r="A28" s="158" t="n"/>
      <c r="B28" s="163" t="inlineStr">
        <is>
          <t>AvailableInLebanon</t>
        </is>
      </c>
      <c r="C28" s="158" t="n"/>
      <c r="D28" s="163" t="inlineStr">
        <is>
          <t>at least one offer from a Lebanese shop</t>
        </is>
      </c>
      <c r="E28" s="158" t="n"/>
      <c r="F28" s="158" t="n"/>
      <c r="G28" s="158" t="n"/>
      <c r="H28" s="163" t="inlineStr">
        <is>
          <t>about 11,937</t>
        </is>
      </c>
      <c r="I28" s="158" t="n"/>
      <c r="J28" s="158" t="n"/>
      <c r="K28" s="158" t="n"/>
      <c r="L28" s="158" t="n"/>
    </row>
    <row r="29" ht="30" customHeight="1" s="49">
      <c r="A29" s="158" t="n"/>
      <c r="B29" s="163" t="inlineStr">
        <is>
          <t>ManufacturerStatedProduct</t>
        </is>
      </c>
      <c r="C29" s="158" t="n"/>
      <c r="D29" s="163" t="inlineStr">
        <is>
          <t>its suitability claim is level 1</t>
        </is>
      </c>
      <c r="E29" s="158" t="n"/>
      <c r="F29" s="158" t="n"/>
      <c r="G29" s="158" t="n"/>
      <c r="H29" s="163" t="inlineStr">
        <is>
          <t>about 4,460</t>
        </is>
      </c>
      <c r="I29" s="158" t="n"/>
      <c r="J29" s="158" t="n"/>
      <c r="K29" s="158" t="n"/>
      <c r="L29" s="158" t="n"/>
    </row>
    <row r="30" ht="30" customHeight="1" s="49">
      <c r="A30" s="158" t="n"/>
      <c r="B30" s="163" t="inlineStr">
        <is>
          <t>RegulatedProduct</t>
        </is>
      </c>
      <c r="C30" s="158" t="n"/>
      <c r="D30" s="163" t="inlineStr">
        <is>
          <t>at least one restricted ingredient</t>
        </is>
      </c>
      <c r="E30" s="158" t="n"/>
      <c r="F30" s="158" t="n"/>
      <c r="G30" s="158" t="n"/>
      <c r="H30" s="163" t="inlineStr">
        <is>
          <t>about 9,613</t>
        </is>
      </c>
      <c r="I30" s="158" t="n"/>
      <c r="J30" s="158" t="n"/>
      <c r="K30" s="158" t="n"/>
      <c r="L30" s="158" t="n"/>
    </row>
    <row r="31" ht="30" customHeight="1" s="49">
      <c r="A31" s="158" t="n"/>
      <c r="B31" s="163" t="inlineStr">
        <is>
          <t>FullyIdentifiedProduct</t>
        </is>
      </c>
      <c r="C31" s="158" t="n"/>
      <c r="D31" s="163" t="inlineStr">
        <is>
          <t>every ingredient found in the register</t>
        </is>
      </c>
      <c r="E31" s="158" t="n"/>
      <c r="F31" s="158" t="n"/>
      <c r="G31" s="158" t="n"/>
      <c r="H31" s="163" t="inlineStr">
        <is>
          <t>about 9,032</t>
        </is>
      </c>
      <c r="I31" s="158" t="n"/>
      <c r="J31" s="158" t="n"/>
      <c r="K31" s="158" t="n"/>
      <c r="L31" s="158" t="n"/>
    </row>
    <row r="32" ht="30" customHeight="1" s="49">
      <c r="A32" s="158" t="n"/>
      <c r="B32" s="163" t="inlineStr">
        <is>
          <t>NaturalClaimProduct</t>
        </is>
      </c>
      <c r="C32" s="158" t="n"/>
      <c r="D32" s="163" t="inlineStr">
        <is>
          <t>marketed as natural. Built to test Klaschka's finding that 56% of natural INCI substances are classed hazardous</t>
        </is>
      </c>
      <c r="E32" s="158" t="n"/>
      <c r="F32" s="158" t="n"/>
      <c r="G32" s="158" t="n"/>
      <c r="H32" s="163" t="inlineStr">
        <is>
          <t>to measure</t>
        </is>
      </c>
      <c r="I32" s="158" t="n"/>
      <c r="J32" s="158" t="n"/>
      <c r="K32" s="158" t="n"/>
      <c r="L32" s="158" t="n"/>
    </row>
    <row r="33" ht="44" customHeight="1" s="49">
      <c r="A33" s="158" t="n"/>
      <c r="B33" s="163" t="inlineStr">
        <is>
          <t>This is Abesova's trick. We PREDICT each number first, then run the reasoner. If SensitiveSafeProduct does not land near 9,537, the model is wrong and we want to know now. Expect the 593 sensitive-skin products that contain an allergen to show up as a contradiction. That is a finding, not a bug.</t>
        </is>
      </c>
      <c r="C33" s="158" t="n"/>
      <c r="D33" s="158" t="n"/>
      <c r="E33" s="158" t="n"/>
      <c r="F33" s="158" t="n"/>
      <c r="G33" s="158" t="n"/>
      <c r="H33" s="158" t="n"/>
      <c r="I33" s="158" t="n"/>
      <c r="J33" s="158" t="n"/>
      <c r="K33" s="158" t="n"/>
      <c r="L33" s="158" t="n"/>
    </row>
  </sheetData>
  <mergeCells count="67">
    <mergeCell ref="H28:K28"/>
    <mergeCell ref="F11:G11"/>
    <mergeCell ref="B16:C16"/>
    <mergeCell ref="D10:E10"/>
    <mergeCell ref="H27:K27"/>
    <mergeCell ref="F10:G10"/>
    <mergeCell ref="F16:G16"/>
    <mergeCell ref="B9:K9"/>
    <mergeCell ref="H10:I10"/>
    <mergeCell ref="D30:G30"/>
    <mergeCell ref="B31:C31"/>
    <mergeCell ref="D29:G29"/>
    <mergeCell ref="B27:C27"/>
    <mergeCell ref="B18:C18"/>
    <mergeCell ref="B33:K33"/>
    <mergeCell ref="B5:K5"/>
    <mergeCell ref="B12:C12"/>
    <mergeCell ref="A2:L2"/>
    <mergeCell ref="F12:G12"/>
    <mergeCell ref="D26:G26"/>
    <mergeCell ref="B11:C11"/>
    <mergeCell ref="F15:G15"/>
    <mergeCell ref="H26:K26"/>
    <mergeCell ref="D11:E11"/>
    <mergeCell ref="D13:E13"/>
    <mergeCell ref="H30:K30"/>
    <mergeCell ref="F18:G18"/>
    <mergeCell ref="B7:K7"/>
    <mergeCell ref="B14:C14"/>
    <mergeCell ref="B25:K25"/>
    <mergeCell ref="H29:K29"/>
    <mergeCell ref="B17:C17"/>
    <mergeCell ref="D17:E17"/>
    <mergeCell ref="F17:G17"/>
    <mergeCell ref="H17:I17"/>
    <mergeCell ref="B13:C13"/>
    <mergeCell ref="H11:I11"/>
    <mergeCell ref="D16:E16"/>
    <mergeCell ref="D31:G31"/>
    <mergeCell ref="B29:C29"/>
    <mergeCell ref="H16:I16"/>
    <mergeCell ref="H31:K31"/>
    <mergeCell ref="B10:C10"/>
    <mergeCell ref="B21:K21"/>
    <mergeCell ref="B28:C28"/>
    <mergeCell ref="F13:G13"/>
    <mergeCell ref="D18:E18"/>
    <mergeCell ref="D27:G27"/>
    <mergeCell ref="H13:I13"/>
    <mergeCell ref="D32:G32"/>
    <mergeCell ref="D12:E12"/>
    <mergeCell ref="H12:I12"/>
    <mergeCell ref="B23:K23"/>
    <mergeCell ref="B30:C30"/>
    <mergeCell ref="B15:C15"/>
    <mergeCell ref="B26:C26"/>
    <mergeCell ref="D15:E15"/>
    <mergeCell ref="A1:L1"/>
    <mergeCell ref="H18:I18"/>
    <mergeCell ref="H15:I15"/>
    <mergeCell ref="D14:E14"/>
    <mergeCell ref="B32:C32"/>
    <mergeCell ref="F14:G14"/>
    <mergeCell ref="H32:K32"/>
    <mergeCell ref="H14:I14"/>
    <mergeCell ref="D28:G28"/>
    <mergeCell ref="B19:K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6"/>
  <sheetViews>
    <sheetView showGridLines="0" zoomScale="9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style="49" min="1" max="1"/>
    <col width="34" customWidth="1" style="49" min="2" max="2"/>
    <col width="22" customWidth="1" style="49" min="3" max="3"/>
    <col width="42" customWidth="1" style="49" min="4" max="4"/>
    <col width="7" customWidth="1" style="49" min="5" max="5"/>
    <col width="40" customWidth="1" style="49" min="6" max="6"/>
    <col width="30" customWidth="1" style="49" min="7" max="7"/>
  </cols>
  <sheetData>
    <row r="1" ht="22" customHeight="1" s="49">
      <c r="A1" s="154" t="inlineStr">
        <is>
          <t>Tools</t>
        </is>
      </c>
    </row>
    <row r="2" ht="28" customHeight="1" s="49">
      <c r="A2" s="177" t="inlineStr">
        <is>
          <t>One row per tool. 'Used by' names the paper that used it. A dash means nobody in my review used it.</t>
        </is>
      </c>
    </row>
    <row r="3" ht="8" customHeight="1" s="49"/>
    <row r="4" ht="28" customHeight="1" s="49">
      <c r="A4" s="178" t="inlineStr">
        <is>
          <t>Tool</t>
        </is>
      </c>
      <c r="B4" s="178" t="inlineStr">
        <is>
          <t>What it is</t>
        </is>
      </c>
      <c r="C4" s="178" t="inlineStr">
        <is>
          <t>Used by</t>
        </is>
      </c>
      <c r="D4" s="178" t="inlineStr">
        <is>
          <t>How they used it</t>
        </is>
      </c>
      <c r="E4" s="178" t="inlineStr">
        <is>
          <t>Us?</t>
        </is>
      </c>
      <c r="F4" s="178" t="inlineStr">
        <is>
          <t>Why</t>
        </is>
      </c>
      <c r="G4" s="178" t="inlineStr">
        <is>
          <t>Link</t>
        </is>
      </c>
    </row>
    <row r="5" ht="24" customHeight="1" s="49">
      <c r="A5" s="160" t="inlineStr">
        <is>
          <t>1. Languages</t>
        </is>
      </c>
    </row>
    <row r="6" ht="19" customHeight="1" s="49">
      <c r="A6" s="179" t="inlineStr">
        <is>
          <t>RDF</t>
        </is>
      </c>
      <c r="B6" s="180" t="inlineStr">
        <is>
          <t>Data written as three-part facts</t>
        </is>
      </c>
      <c r="C6" s="180" t="inlineStr">
        <is>
          <t>everyone</t>
        </is>
      </c>
      <c r="D6" s="180" t="inlineStr">
        <is>
          <t>The base layer under every ontology here</t>
        </is>
      </c>
      <c r="E6" s="181" t="inlineStr">
        <is>
          <t>yes</t>
        </is>
      </c>
      <c r="F6" s="180" t="inlineStr">
        <is>
          <t>What an ontology is made of</t>
        </is>
      </c>
      <c r="G6" s="182" t="inlineStr">
        <is>
          <t>w3.org/TR/rdf11-primer</t>
        </is>
      </c>
    </row>
    <row r="7" ht="32" customHeight="1" s="49">
      <c r="A7" s="179" t="inlineStr">
        <is>
          <t>Turtle (.ttl)</t>
        </is>
      </c>
      <c r="B7" s="180" t="inlineStr">
        <is>
          <t>The readable way to write RDF</t>
        </is>
      </c>
      <c r="C7" s="180" t="inlineStr">
        <is>
          <t>Abesova, TOXIN</t>
        </is>
      </c>
      <c r="D7" s="180" t="inlineStr">
        <is>
          <t>Abesova exported nine .ttl files and merged them</t>
        </is>
      </c>
      <c r="E7" s="181" t="inlineStr">
        <is>
          <t>yes</t>
        </is>
      </c>
      <c r="F7" s="180" t="inlineStr">
        <is>
          <t>Humans can read it, and it diffs in git</t>
        </is>
      </c>
      <c r="G7" s="182" t="inlineStr">
        <is>
          <t>w3.org/TR/turtle</t>
        </is>
      </c>
    </row>
    <row r="8" ht="45" customHeight="1" s="49">
      <c r="A8" s="179" t="inlineStr">
        <is>
          <t>OWL</t>
        </is>
      </c>
      <c r="B8" s="180" t="inlineStr">
        <is>
          <t>RDF plus logic</t>
        </is>
      </c>
      <c r="C8" s="180" t="inlineStr">
        <is>
          <t>Moe &amp; Aung, OntoCosmetic, Hansanie, Abesova, COPPER, DermO</t>
        </is>
      </c>
      <c r="D8" s="180" t="inlineStr">
        <is>
          <t>Abesova defined OilySkinProducts as hasOilyScore value 5</t>
        </is>
      </c>
      <c r="E8" s="181" t="inlineStr">
        <is>
          <t>yes</t>
        </is>
      </c>
      <c r="F8" s="180" t="inlineStr">
        <is>
          <t>My defined classes need it</t>
        </is>
      </c>
      <c r="G8" s="182" t="inlineStr">
        <is>
          <t>w3.org/TR/owl2-primer</t>
        </is>
      </c>
    </row>
    <row r="9" ht="45" customHeight="1" s="49">
      <c r="A9" s="179" t="inlineStr">
        <is>
          <t>SPARQL</t>
        </is>
      </c>
      <c r="B9" s="180" t="inlineStr">
        <is>
          <t>The query language for graphs</t>
        </is>
      </c>
      <c r="C9" s="180" t="inlineStr">
        <is>
          <t>Abesova, bit-Tech, Utari, FoodKG, Di Noia</t>
        </is>
      </c>
      <c r="D9" s="180" t="inlineStr">
        <is>
          <t>Abesova ranks reviews and picks the top 3 per category</t>
        </is>
      </c>
      <c r="E9" s="181" t="inlineStr">
        <is>
          <t>yes</t>
        </is>
      </c>
      <c r="F9" s="180" t="inlineStr">
        <is>
          <t>My 15 competency questions become 15 queries</t>
        </is>
      </c>
      <c r="G9" s="182" t="inlineStr">
        <is>
          <t>w3.org/TR/sparql11-query</t>
        </is>
      </c>
    </row>
    <row r="10" ht="32" customHeight="1" s="49">
      <c r="A10" s="179" t="inlineStr">
        <is>
          <t>SWRL</t>
        </is>
      </c>
      <c r="B10" s="180" t="inlineStr">
        <is>
          <t>If-then rules on top of OWL</t>
        </is>
      </c>
      <c r="C10" s="180" t="inlineStr">
        <is>
          <t>OntoCosmetic</t>
        </is>
      </c>
      <c r="D10" s="180" t="inlineStr">
        <is>
          <t>Formulation rules with a high and low threshold each</t>
        </is>
      </c>
      <c r="E10" s="181" t="inlineStr">
        <is>
          <t>maybe</t>
        </is>
      </c>
      <c r="F10" s="180" t="inlineStr">
        <is>
          <t>Slows the reasoner. Two rules at most</t>
        </is>
      </c>
      <c r="G10" s="182" t="inlineStr">
        <is>
          <t>w3.org/submissions/SWRL</t>
        </is>
      </c>
    </row>
    <row r="11" ht="19" customHeight="1" s="49">
      <c r="A11" s="179" t="inlineStr">
        <is>
          <t>SHACL</t>
        </is>
      </c>
      <c r="B11" s="180" t="inlineStr">
        <is>
          <t>Checks data and can infer</t>
        </is>
      </c>
      <c r="C11" s="180" t="inlineStr">
        <is>
          <t>nobody. 0 of 28</t>
        </is>
      </c>
      <c r="D11" s="180" t="inlineStr">
        <is>
          <t>-</t>
        </is>
      </c>
      <c r="E11" s="181" t="inlineStr">
        <is>
          <t>yes</t>
        </is>
      </c>
      <c r="F11" s="180" t="inlineStr">
        <is>
          <t>OWL cannot report an error. SHACL can</t>
        </is>
      </c>
      <c r="G11" s="182" t="inlineStr">
        <is>
          <t>w3.org/TR/shacl</t>
        </is>
      </c>
    </row>
    <row r="12" ht="32" customHeight="1" s="49">
      <c r="A12" s="179" t="inlineStr">
        <is>
          <t>R2RML / RML</t>
        </is>
      </c>
      <c r="B12" s="180" t="inlineStr">
        <is>
          <t>A file saying which column becomes what</t>
        </is>
      </c>
      <c r="C12" s="180" t="inlineStr">
        <is>
          <t>TOXIN KG</t>
        </is>
      </c>
      <c r="D12" s="180" t="inlineStr">
        <is>
          <t>Turned toxicology spreadsheets into triples</t>
        </is>
      </c>
      <c r="E12" s="181" t="inlineStr">
        <is>
          <t>yes</t>
        </is>
      </c>
      <c r="F12" s="180" t="inlineStr">
        <is>
          <t>The mapping file goes in my appendix</t>
        </is>
      </c>
      <c r="G12" s="182" t="inlineStr">
        <is>
          <t>rml.io</t>
        </is>
      </c>
    </row>
    <row r="13" ht="24" customHeight="1" s="49">
      <c r="A13" s="160" t="inlineStr">
        <is>
          <t>2. How you build it. Five of my 28 papers used no Protege at all.</t>
        </is>
      </c>
    </row>
    <row r="14" ht="45" customHeight="1" s="49">
      <c r="A14" s="179" t="inlineStr">
        <is>
          <t>Protege</t>
        </is>
      </c>
      <c r="B14" s="180" t="inlineStr">
        <is>
          <t>Free desktop ontology editor, Stanford</t>
        </is>
      </c>
      <c r="C14" s="180" t="inlineStr">
        <is>
          <t>Moe &amp; Aung, OntoCosmetic, Hansanie, DermO, COPPER</t>
        </is>
      </c>
      <c r="D14" s="180" t="inlineStr">
        <is>
          <t>Built classes by clicking, ran the reasoner from the menu</t>
        </is>
      </c>
      <c r="E14" s="181" t="inlineStr">
        <is>
          <t>yes</t>
        </is>
      </c>
      <c r="F14" s="180" t="inlineStr">
        <is>
          <t>Standard, free, reasoners built in</t>
        </is>
      </c>
      <c r="G14" s="182" t="inlineStr">
        <is>
          <t>protege.stanford.edu</t>
        </is>
      </c>
    </row>
    <row r="15" ht="32" customHeight="1" s="49">
      <c r="A15" s="179" t="inlineStr">
        <is>
          <t>OntoRefine</t>
        </is>
      </c>
      <c r="B15" s="180" t="inlineStr">
        <is>
          <t>Point-and-click CSV to RDF, in GraphDB</t>
        </is>
      </c>
      <c r="C15" s="180" t="inlineStr">
        <is>
          <t>Abesova</t>
        </is>
      </c>
      <c r="D15" s="180" t="inlineStr">
        <is>
          <t>Drew the mapping for the Sephora review CSV. No Protege at all</t>
        </is>
      </c>
      <c r="E15" s="181" t="inlineStr">
        <is>
          <t>no</t>
        </is>
      </c>
      <c r="F15" s="180" t="inlineStr">
        <is>
          <t>The mapping is stuck inside GraphDB. I cannot publish it</t>
        </is>
      </c>
      <c r="G15" s="182" t="inlineStr">
        <is>
          <t>graphdb.ontotext.com</t>
        </is>
      </c>
    </row>
    <row r="16" ht="32" customHeight="1" s="49">
      <c r="A16" s="179" t="inlineStr">
        <is>
          <t>RML mapping file</t>
        </is>
      </c>
      <c r="B16" s="180" t="inlineStr">
        <is>
          <t>No editor. The mapping defines the graph</t>
        </is>
      </c>
      <c r="C16" s="180" t="inlineStr">
        <is>
          <t>TOXIN KG</t>
        </is>
      </c>
      <c r="D16" s="180" t="inlineStr">
        <is>
          <t>Wrote R2RML and never opened an editor</t>
        </is>
      </c>
      <c r="E16" s="181" t="inlineStr">
        <is>
          <t>yes</t>
        </is>
      </c>
      <c r="F16" s="180" t="inlineStr">
        <is>
          <t>This is how my pipeline works. Built by script, not clicking</t>
        </is>
      </c>
      <c r="G16" s="182" t="inlineStr">
        <is>
          <t>rml.io</t>
        </is>
      </c>
    </row>
    <row r="17" ht="32" customHeight="1" s="49">
      <c r="A17" s="179" t="inlineStr">
        <is>
          <t>Apache Jena Fuseki</t>
        </is>
      </c>
      <c r="B17" s="180" t="inlineStr">
        <is>
          <t>Triple store with a SPARQL endpoint</t>
        </is>
      </c>
      <c r="C17" s="180" t="inlineStr">
        <is>
          <t>bit-Tech 2025</t>
        </is>
      </c>
      <c r="D17" s="180" t="inlineStr">
        <is>
          <t>Stored and queried the graph. No editor at all</t>
        </is>
      </c>
      <c r="E17" s="181" t="inlineStr">
        <is>
          <t>no</t>
        </is>
      </c>
      <c r="F17" s="180" t="inlineStr">
        <is>
          <t>Weaker reasoning than GraphDB</t>
        </is>
      </c>
      <c r="G17" s="182" t="inlineStr">
        <is>
          <t>jena.apache.org</t>
        </is>
      </c>
    </row>
    <row r="18" ht="32" customHeight="1" s="49">
      <c r="A18" s="179" t="inlineStr">
        <is>
          <t>WebProtege</t>
        </is>
      </c>
      <c r="B18" s="180" t="inlineStr">
        <is>
          <t>Protege in a browser, two people at once</t>
        </is>
      </c>
      <c r="C18" s="180" t="inlineStr">
        <is>
          <t>-</t>
        </is>
      </c>
      <c r="D18" s="180" t="inlineStr">
        <is>
          <t>-</t>
        </is>
      </c>
      <c r="E18" s="181" t="inlineStr">
        <is>
          <t>maybe</t>
        </is>
      </c>
      <c r="F18" s="180" t="inlineStr">
        <is>
          <t>If my supervisor wants to comment in the file</t>
        </is>
      </c>
      <c r="G18" s="182" t="inlineStr">
        <is>
          <t>webprotege.stanford.edu</t>
        </is>
      </c>
    </row>
    <row r="19" ht="32" customHeight="1" s="49">
      <c r="A19" s="179" t="inlineStr">
        <is>
          <t>TopBraid Composer</t>
        </is>
      </c>
      <c r="B19" s="180" t="inlineStr">
        <is>
          <t>Commercial editor, best SHACL support</t>
        </is>
      </c>
      <c r="C19" s="180" t="inlineStr">
        <is>
          <t>-</t>
        </is>
      </c>
      <c r="D19" s="180" t="inlineStr">
        <is>
          <t>-</t>
        </is>
      </c>
      <c r="E19" s="181" t="inlineStr">
        <is>
          <t>no</t>
        </is>
      </c>
      <c r="F19" s="180" t="inlineStr">
        <is>
          <t>Commercial. Written by the SHACL authors</t>
        </is>
      </c>
      <c r="G19" s="182" t="inlineStr">
        <is>
          <t>topquadrant.com</t>
        </is>
      </c>
    </row>
    <row r="20" ht="32" customHeight="1" s="49">
      <c r="A20" s="179" t="inlineStr">
        <is>
          <t>VocBench 3</t>
        </is>
      </c>
      <c r="B20" s="180" t="inlineStr">
        <is>
          <t>Web editor for thesauri and SKOS</t>
        </is>
      </c>
      <c r="C20" s="180" t="inlineStr">
        <is>
          <t>-</t>
        </is>
      </c>
      <c r="D20" s="180" t="inlineStr">
        <is>
          <t>-</t>
        </is>
      </c>
      <c r="E20" s="181" t="inlineStr">
        <is>
          <t>no</t>
        </is>
      </c>
      <c r="F20" s="180" t="inlineStr">
        <is>
          <t>Built for word lists, not defined classes</t>
        </is>
      </c>
      <c r="G20" s="182" t="inlineStr">
        <is>
          <t>vocbench.uniroma2.it</t>
        </is>
      </c>
    </row>
    <row r="21" ht="32" customHeight="1" s="49">
      <c r="A21" s="179" t="inlineStr">
        <is>
          <t>ROBOT</t>
        </is>
      </c>
      <c r="B21" s="180" t="inlineStr">
        <is>
          <t>Command-line ontology jobs</t>
        </is>
      </c>
      <c r="C21" s="180" t="inlineStr">
        <is>
          <t>-</t>
        </is>
      </c>
      <c r="D21" s="180" t="inlineStr">
        <is>
          <t>-</t>
        </is>
      </c>
      <c r="E21" s="181" t="inlineStr">
        <is>
          <t>maybe</t>
        </is>
      </c>
      <c r="F21" s="180" t="inlineStr">
        <is>
          <t>Makes the build repeatable instead of clicked</t>
        </is>
      </c>
      <c r="G21" s="182" t="inlineStr">
        <is>
          <t>github.com/ontodev/robot</t>
        </is>
      </c>
    </row>
    <row r="22" ht="32" customHeight="1" s="49">
      <c r="A22" s="179" t="inlineStr">
        <is>
          <t>LinkML</t>
        </is>
      </c>
      <c r="B22" s="180" t="inlineStr">
        <is>
          <t>Write YAML, get OWL and SHACL out</t>
        </is>
      </c>
      <c r="C22" s="180" t="inlineStr">
        <is>
          <t>-</t>
        </is>
      </c>
      <c r="D22" s="180" t="inlineStr">
        <is>
          <t>-</t>
        </is>
      </c>
      <c r="E22" s="181" t="inlineStr">
        <is>
          <t>maybe</t>
        </is>
      </c>
      <c r="F22" s="180" t="inlineStr">
        <is>
          <t>One source, so OWL and SHACL cannot drift apart</t>
        </is>
      </c>
      <c r="G22" s="182" t="inlineStr">
        <is>
          <t>linkml.io</t>
        </is>
      </c>
    </row>
    <row r="23" ht="19" customHeight="1" s="49">
      <c r="A23" s="179" t="inlineStr">
        <is>
          <t>Chowlk</t>
        </is>
      </c>
      <c r="B23" s="180" t="inlineStr">
        <is>
          <t>Draw a diagram, get OWL</t>
        </is>
      </c>
      <c r="C23" s="180" t="inlineStr">
        <is>
          <t>-</t>
        </is>
      </c>
      <c r="D23" s="180" t="inlineStr">
        <is>
          <t>-</t>
        </is>
      </c>
      <c r="E23" s="181" t="inlineStr">
        <is>
          <t>maybe</t>
        </is>
      </c>
      <c r="F23" s="180" t="inlineStr">
        <is>
          <t>I need diagrams anyway. Draw once</t>
        </is>
      </c>
      <c r="G23" s="182" t="inlineStr">
        <is>
          <t>chowlk.linkeddata.es</t>
        </is>
      </c>
    </row>
    <row r="24" ht="32" customHeight="1" s="49">
      <c r="A24" s="179" t="inlineStr">
        <is>
          <t>OWLGrEd</t>
        </is>
      </c>
      <c r="B24" s="180" t="inlineStr">
        <is>
          <t>Draws an OWL file as a picture</t>
        </is>
      </c>
      <c r="C24" s="180" t="inlineStr">
        <is>
          <t>-</t>
        </is>
      </c>
      <c r="D24" s="180" t="inlineStr">
        <is>
          <t>-</t>
        </is>
      </c>
      <c r="E24" s="181" t="inlineStr">
        <is>
          <t>maybe</t>
        </is>
      </c>
      <c r="F24" s="180" t="inlineStr">
        <is>
          <t>Only to make the figure for the chapter</t>
        </is>
      </c>
      <c r="G24" s="182" t="inlineStr">
        <is>
          <t>owlgred.lumii.lv</t>
        </is>
      </c>
    </row>
    <row r="25" ht="19" customHeight="1" s="49">
      <c r="A25" s="179" t="inlineStr">
        <is>
          <t>CoModIDE</t>
        </is>
      </c>
      <c r="B25" s="180" t="inlineStr">
        <is>
          <t>Drag-and-drop ontology modules</t>
        </is>
      </c>
      <c r="C25" s="180" t="inlineStr">
        <is>
          <t>-</t>
        </is>
      </c>
      <c r="D25" s="180" t="inlineStr">
        <is>
          <t>-</t>
        </is>
      </c>
      <c r="E25" s="181" t="inlineStr">
        <is>
          <t>maybe</t>
        </is>
      </c>
      <c r="F25" s="180" t="inlineStr">
        <is>
          <t>Same idea as Chowlk</t>
        </is>
      </c>
      <c r="G25" s="182" t="inlineStr">
        <is>
          <t>comodide.com</t>
        </is>
      </c>
    </row>
    <row r="26" ht="32" customHeight="1" s="49">
      <c r="A26" s="179" t="inlineStr">
        <is>
          <t>Owlready2</t>
        </is>
      </c>
      <c r="B26" s="180" t="inlineStr">
        <is>
          <t>Python library for ontologies</t>
        </is>
      </c>
      <c r="C26" s="180" t="inlineStr">
        <is>
          <t>Hansanie &amp; Silva</t>
        </is>
      </c>
      <c r="D26" s="180" t="inlineStr">
        <is>
          <t>Queried the ontology from their Python app</t>
        </is>
      </c>
      <c r="E26" s="181" t="inlineStr">
        <is>
          <t>yes</t>
        </is>
      </c>
      <c r="F26" s="180" t="inlineStr">
        <is>
          <t>My pipeline is Python</t>
        </is>
      </c>
      <c r="G26" s="182" t="inlineStr">
        <is>
          <t>owlready2.readthedocs.io</t>
        </is>
      </c>
    </row>
    <row r="27" ht="19" customHeight="1" s="49">
      <c r="A27" s="179" t="inlineStr">
        <is>
          <t>RDFLib</t>
        </is>
      </c>
      <c r="B27" s="180" t="inlineStr">
        <is>
          <t>Python library for RDF</t>
        </is>
      </c>
      <c r="C27" s="180" t="inlineStr">
        <is>
          <t>-</t>
        </is>
      </c>
      <c r="D27" s="180" t="inlineStr">
        <is>
          <t>-</t>
        </is>
      </c>
      <c r="E27" s="181" t="inlineStr">
        <is>
          <t>yes</t>
        </is>
      </c>
      <c r="F27" s="180" t="inlineStr">
        <is>
          <t>Pairs with Owlready2 and pySHACL</t>
        </is>
      </c>
      <c r="G27" s="182" t="inlineStr">
        <is>
          <t>rdflib.readthedocs.io</t>
        </is>
      </c>
    </row>
    <row r="28" ht="24" customHeight="1" s="49">
      <c r="A28" s="160" t="inlineStr">
        <is>
          <t>3. Reasoners and rules</t>
        </is>
      </c>
    </row>
    <row r="29" ht="32" customHeight="1" s="49">
      <c r="A29" s="179" t="inlineStr">
        <is>
          <t>RDFS entailment</t>
        </is>
      </c>
      <c r="B29" s="180" t="inlineStr">
        <is>
          <t>Subclass and domain/range only</t>
        </is>
      </c>
      <c r="C29" s="180" t="inlineStr">
        <is>
          <t>Abesova</t>
        </is>
      </c>
      <c r="D29" s="180" t="inlineStr">
        <is>
          <t>Free in GraphDB, always on</t>
        </is>
      </c>
      <c r="E29" s="181" t="inlineStr">
        <is>
          <t>yes</t>
        </is>
      </c>
      <c r="F29" s="180" t="inlineStr">
        <is>
          <t>Cheapest reasoning. Does the hierarchy only</t>
        </is>
      </c>
      <c r="G29" s="182" t="inlineStr">
        <is>
          <t>w3.org/TR/rdf-mt</t>
        </is>
      </c>
    </row>
    <row r="30" ht="32" customHeight="1" s="49">
      <c r="A30" s="179" t="inlineStr">
        <is>
          <t>HermiT</t>
        </is>
      </c>
      <c r="B30" s="180" t="inlineStr">
        <is>
          <t>OWL reasoner, ships with Protege</t>
        </is>
      </c>
      <c r="C30" s="180" t="inlineStr">
        <is>
          <t>-</t>
        </is>
      </c>
      <c r="D30" s="180" t="inlineStr">
        <is>
          <t>-</t>
        </is>
      </c>
      <c r="E30" s="181" t="inlineStr">
        <is>
          <t>yes</t>
        </is>
      </c>
      <c r="F30" s="180" t="inlineStr">
        <is>
          <t>Fills my defined classes. Solid default</t>
        </is>
      </c>
      <c r="G30" s="182" t="inlineStr">
        <is>
          <t>hermit-reasoner.com</t>
        </is>
      </c>
    </row>
    <row r="31" ht="19" customHeight="1" s="49">
      <c r="A31" s="179" t="inlineStr">
        <is>
          <t>Pellet / Openllet</t>
        </is>
      </c>
      <c r="B31" s="180" t="inlineStr">
        <is>
          <t>OWL reasoner that also runs SWRL</t>
        </is>
      </c>
      <c r="C31" s="180" t="inlineStr">
        <is>
          <t>Hansanie &amp; Silva</t>
        </is>
      </c>
      <c r="D31" s="180" t="inlineStr">
        <is>
          <t>Checked the ontology was consistent</t>
        </is>
      </c>
      <c r="E31" s="181" t="inlineStr">
        <is>
          <t>maybe</t>
        </is>
      </c>
      <c r="F31" s="180" t="inlineStr">
        <is>
          <t>Only if I write SWRL rules</t>
        </is>
      </c>
      <c r="G31" s="182" t="inlineStr">
        <is>
          <t>github.com/Galigator/openllet</t>
        </is>
      </c>
    </row>
    <row r="32" ht="32" customHeight="1" s="49">
      <c r="A32" s="179" t="inlineStr">
        <is>
          <t>ELK</t>
        </is>
      </c>
      <c r="B32" s="180" t="inlineStr">
        <is>
          <t>Very fast reasoner, limited logic</t>
        </is>
      </c>
      <c r="C32" s="180" t="inlineStr">
        <is>
          <t>-</t>
        </is>
      </c>
      <c r="D32" s="180" t="inlineStr">
        <is>
          <t>-</t>
        </is>
      </c>
      <c r="E32" s="181" t="inlineStr">
        <is>
          <t>no</t>
        </is>
      </c>
      <c r="F32" s="180" t="inlineStr">
        <is>
          <t>Too limited for my defined classes</t>
        </is>
      </c>
      <c r="G32" s="182" t="inlineStr">
        <is>
          <t>github.com/liveontologies/elk-reasoner</t>
        </is>
      </c>
    </row>
    <row r="33" ht="32" customHeight="1" s="49">
      <c r="A33" s="179" t="inlineStr">
        <is>
          <t>OWL 2 profiles</t>
        </is>
      </c>
      <c r="B33" s="180" t="inlineStr">
        <is>
          <t>RL, EL, QL, DL. Power against speed</t>
        </is>
      </c>
      <c r="C33" s="180" t="inlineStr">
        <is>
          <t>-</t>
        </is>
      </c>
      <c r="D33" s="180" t="inlineStr">
        <is>
          <t>-</t>
        </is>
      </c>
      <c r="E33" s="181" t="inlineStr">
        <is>
          <t>yes</t>
        </is>
      </c>
      <c r="F33" s="180" t="inlineStr">
        <is>
          <t>I should name mine in the chapter. It is DL</t>
        </is>
      </c>
      <c r="G33" s="182" t="inlineStr">
        <is>
          <t>w3.org/TR/owl2-profiles</t>
        </is>
      </c>
    </row>
    <row r="34" ht="32" customHeight="1" s="49">
      <c r="A34" s="179" t="inlineStr">
        <is>
          <t>SPARQL CONSTRUCT</t>
        </is>
      </c>
      <c r="B34" s="180" t="inlineStr">
        <is>
          <t>A query that writes new triples</t>
        </is>
      </c>
      <c r="C34" s="180" t="inlineStr">
        <is>
          <t>Abesova</t>
        </is>
      </c>
      <c r="D34" s="180" t="inlineStr">
        <is>
          <t>Built the OilyScore triples, then the reasoner used them</t>
        </is>
      </c>
      <c r="E34" s="181" t="inlineStr">
        <is>
          <t>yes</t>
        </is>
      </c>
      <c r="F34" s="180" t="inlineStr">
        <is>
          <t>Simple, but the rules sit in loose files</t>
        </is>
      </c>
      <c r="G34" s="182" t="inlineStr">
        <is>
          <t>w3.org/TR/sparql11-query</t>
        </is>
      </c>
    </row>
    <row r="35" ht="32" customHeight="1" s="49">
      <c r="A35" s="179" t="inlineStr">
        <is>
          <t>SHACL Core</t>
        </is>
      </c>
      <c r="B35" s="180" t="inlineStr">
        <is>
          <t>Reports which product broke a rule</t>
        </is>
      </c>
      <c r="C35" s="180" t="inlineStr">
        <is>
          <t>-</t>
        </is>
      </c>
      <c r="D35" s="180" t="inlineStr">
        <is>
          <t>-</t>
        </is>
      </c>
      <c r="E35" s="181" t="inlineStr">
        <is>
          <t>yes</t>
        </is>
      </c>
      <c r="F35" s="180" t="inlineStr">
        <is>
          <t>Validates my 12,629 rows. OWL cannot</t>
        </is>
      </c>
      <c r="G35" s="182" t="inlineStr">
        <is>
          <t>w3.org/TR/shacl</t>
        </is>
      </c>
    </row>
    <row r="36" ht="32" customHeight="1" s="49">
      <c r="A36" s="179" t="inlineStr">
        <is>
          <t>sh:TripleRule</t>
        </is>
      </c>
      <c r="B36" s="180" t="inlineStr">
        <is>
          <t>Adds a triple when a condition holds</t>
        </is>
      </c>
      <c r="C36" s="180" t="inlineStr">
        <is>
          <t>-</t>
        </is>
      </c>
      <c r="D36" s="180" t="inlineStr">
        <is>
          <t>-</t>
        </is>
      </c>
      <c r="E36" s="181" t="inlineStr">
        <is>
          <t>yes</t>
        </is>
      </c>
      <c r="F36" s="180" t="inlineStr">
        <is>
          <t>Can infer any triple. OWL only infers types</t>
        </is>
      </c>
      <c r="G36" s="182" t="inlineStr">
        <is>
          <t>w3.org/TR/shacl-af</t>
        </is>
      </c>
    </row>
    <row r="37" ht="32" customHeight="1" s="49">
      <c r="A37" s="179" t="inlineStr">
        <is>
          <t>sh:SPARQLRule</t>
        </is>
      </c>
      <c r="B37" s="180" t="inlineStr">
        <is>
          <t>A rule that counts and writes back</t>
        </is>
      </c>
      <c r="C37" s="180" t="inlineStr">
        <is>
          <t>-</t>
        </is>
      </c>
      <c r="D37" s="180" t="inlineStr">
        <is>
          <t>-</t>
        </is>
      </c>
      <c r="E37" s="181" t="inlineStr">
        <is>
          <t>yes</t>
        </is>
      </c>
      <c r="F37" s="180" t="inlineStr">
        <is>
          <t>OWL cannot count. This is why I add SHACL</t>
        </is>
      </c>
      <c r="G37" s="182" t="inlineStr">
        <is>
          <t>w3.org/TR/shacl-af</t>
        </is>
      </c>
    </row>
    <row r="38" ht="19" customHeight="1" s="49">
      <c r="A38" s="179" t="inlineStr">
        <is>
          <t>pySHACL</t>
        </is>
      </c>
      <c r="B38" s="180" t="inlineStr">
        <is>
          <t>SHACL validator in Python</t>
        </is>
      </c>
      <c r="C38" s="180" t="inlineStr">
        <is>
          <t>-</t>
        </is>
      </c>
      <c r="D38" s="180" t="inlineStr">
        <is>
          <t>-</t>
        </is>
      </c>
      <c r="E38" s="181" t="inlineStr">
        <is>
          <t>yes</t>
        </is>
      </c>
      <c r="F38" s="180" t="inlineStr">
        <is>
          <t>My pipeline is Python</t>
        </is>
      </c>
      <c r="G38" s="182" t="inlineStr">
        <is>
          <t>github.com/RDFLib/pySHACL</t>
        </is>
      </c>
    </row>
    <row r="39" ht="32" customHeight="1" s="49">
      <c r="A39" s="179" t="inlineStr">
        <is>
          <t>Apache Jena SHACL</t>
        </is>
      </c>
      <c r="B39" s="180" t="inlineStr">
        <is>
          <t>SHACL validator in Java, the fastest</t>
        </is>
      </c>
      <c r="C39" s="180" t="inlineStr">
        <is>
          <t>-</t>
        </is>
      </c>
      <c r="D39" s="180" t="inlineStr">
        <is>
          <t>-</t>
        </is>
      </c>
      <c r="E39" s="181" t="inlineStr">
        <is>
          <t>maybe</t>
        </is>
      </c>
      <c r="F39" s="180" t="inlineStr">
        <is>
          <t>Four times faster. Only if pySHACL gets slow</t>
        </is>
      </c>
      <c r="G39" s="182" t="inlineStr">
        <is>
          <t>jena.apache.org/documentation/shacl</t>
        </is>
      </c>
    </row>
    <row r="40" ht="24" customHeight="1" s="49">
      <c r="A40" s="160" t="inlineStr">
        <is>
          <t>4. Where the graph lives</t>
        </is>
      </c>
    </row>
    <row r="41" ht="32" customHeight="1" s="49">
      <c r="A41" s="179" t="inlineStr">
        <is>
          <t>GraphDB</t>
        </is>
      </c>
      <c r="B41" s="180" t="inlineStr">
        <is>
          <t>Triple store with reasoning built in</t>
        </is>
      </c>
      <c r="C41" s="180" t="inlineStr">
        <is>
          <t>Abesova</t>
        </is>
      </c>
      <c r="D41" s="180" t="inlineStr">
        <is>
          <t>Held the merged graph and ran the class restrictions</t>
        </is>
      </c>
      <c r="E41" s="181" t="inlineStr">
        <is>
          <t>yes</t>
        </is>
      </c>
      <c r="F41" s="180" t="inlineStr">
        <is>
          <t>Free desktop edition, SHACL built in</t>
        </is>
      </c>
      <c r="G41" s="182" t="inlineStr">
        <is>
          <t>graphdb.ontotext.com</t>
        </is>
      </c>
    </row>
    <row r="42" ht="32" customHeight="1" s="49">
      <c r="A42" s="179" t="inlineStr">
        <is>
          <t>Morph-KGC</t>
        </is>
      </c>
      <c r="B42" s="180" t="inlineStr">
        <is>
          <t>Python engine that runs an RML file</t>
        </is>
      </c>
      <c r="C42" s="180" t="inlineStr">
        <is>
          <t>-</t>
        </is>
      </c>
      <c r="D42" s="180" t="inlineStr">
        <is>
          <t>-</t>
        </is>
      </c>
      <c r="E42" s="181" t="inlineStr">
        <is>
          <t>yes</t>
        </is>
      </c>
      <c r="F42" s="180" t="inlineStr">
        <is>
          <t>One command turns my CSV into triples</t>
        </is>
      </c>
      <c r="G42" s="182" t="inlineStr">
        <is>
          <t>morph-kgc.readthedocs.io</t>
        </is>
      </c>
    </row>
    <row r="43" ht="19" customHeight="1" s="49">
      <c r="A43" s="179" t="inlineStr">
        <is>
          <t>Stardog / Virtuoso</t>
        </is>
      </c>
      <c r="B43" s="180" t="inlineStr">
        <is>
          <t>Commercial triple stores</t>
        </is>
      </c>
      <c r="C43" s="180" t="inlineStr">
        <is>
          <t>-</t>
        </is>
      </c>
      <c r="D43" s="180" t="inlineStr">
        <is>
          <t>-</t>
        </is>
      </c>
      <c r="E43" s="181" t="inlineStr">
        <is>
          <t>no</t>
        </is>
      </c>
      <c r="F43" s="180" t="inlineStr">
        <is>
          <t>I do not need the scale</t>
        </is>
      </c>
      <c r="G43" s="182" t="inlineStr">
        <is>
          <t>stardog.com</t>
        </is>
      </c>
    </row>
    <row r="44" ht="24" customHeight="1" s="49">
      <c r="A44" s="160" t="inlineStr">
        <is>
          <t>5. Vocabularies I reuse instead of inventing</t>
        </is>
      </c>
    </row>
    <row r="45" ht="32" customHeight="1" s="49">
      <c r="A45" s="179" t="inlineStr">
        <is>
          <t>schema.org</t>
        </is>
      </c>
      <c r="B45" s="180" t="inlineStr">
        <is>
          <t>Google's vocabulary for products</t>
        </is>
      </c>
      <c r="C45" s="180" t="inlineStr">
        <is>
          <t>-</t>
        </is>
      </c>
      <c r="D45" s="180" t="inlineStr">
        <is>
          <t>-</t>
        </is>
      </c>
      <c r="E45" s="181" t="inlineStr">
        <is>
          <t>yes</t>
        </is>
      </c>
      <c r="F45" s="180" t="inlineStr">
        <is>
          <t>Product, Offer, price, brand. Already understood</t>
        </is>
      </c>
      <c r="G45" s="182" t="inlineStr">
        <is>
          <t>schema.org</t>
        </is>
      </c>
    </row>
    <row r="46" ht="32" customHeight="1" s="49">
      <c r="A46" s="179" t="inlineStr">
        <is>
          <t>PROV-O</t>
        </is>
      </c>
      <c r="B46" s="180" t="inlineStr">
        <is>
          <t>W3C standard for where a fact came from</t>
        </is>
      </c>
      <c r="C46" s="180" t="inlineStr">
        <is>
          <t>TOXIN KG (named graphs)</t>
        </is>
      </c>
      <c r="D46" s="180" t="inlineStr">
        <is>
          <t>One graph per source, so provenance is never lost</t>
        </is>
      </c>
      <c r="E46" s="181" t="inlineStr">
        <is>
          <t>yes</t>
        </is>
      </c>
      <c r="F46" s="180" t="inlineStr">
        <is>
          <t>Turns my evidence levels into a standard</t>
        </is>
      </c>
      <c r="G46" s="182" t="inlineStr">
        <is>
          <t>w3.org/TR/prov-o</t>
        </is>
      </c>
    </row>
    <row r="47" ht="19" customHeight="1" s="49">
      <c r="A47" s="179" t="inlineStr">
        <is>
          <t>SKOS</t>
        </is>
      </c>
      <c r="B47" s="180" t="inlineStr">
        <is>
          <t>For lists of words, not classes</t>
        </is>
      </c>
      <c r="C47" s="180" t="inlineStr">
        <is>
          <t>-</t>
        </is>
      </c>
      <c r="D47" s="180" t="inlineStr">
        <is>
          <t>-</t>
        </is>
      </c>
      <c r="E47" s="181" t="inlineStr">
        <is>
          <t>yes</t>
        </is>
      </c>
      <c r="F47" s="180" t="inlineStr">
        <is>
          <t>My benefits list is terms, not logic</t>
        </is>
      </c>
      <c r="G47" s="182" t="inlineStr">
        <is>
          <t>w3.org/TR/skos-reference</t>
        </is>
      </c>
    </row>
    <row r="48" ht="19" customHeight="1" s="49">
      <c r="A48" s="179" t="inlineStr">
        <is>
          <t>Dublin Core</t>
        </is>
      </c>
      <c r="B48" s="180" t="inlineStr">
        <is>
          <t>Title, creator, date, licence</t>
        </is>
      </c>
      <c r="C48" s="180" t="inlineStr">
        <is>
          <t>-</t>
        </is>
      </c>
      <c r="D48" s="180" t="inlineStr">
        <is>
          <t>-</t>
        </is>
      </c>
      <c r="E48" s="181" t="inlineStr">
        <is>
          <t>yes</t>
        </is>
      </c>
      <c r="F48" s="180" t="inlineStr">
        <is>
          <t>Makes the ontology citable. Cheap</t>
        </is>
      </c>
      <c r="G48" s="182" t="inlineStr">
        <is>
          <t>dublincore.org</t>
        </is>
      </c>
    </row>
    <row r="49" ht="32" customHeight="1" s="49">
      <c r="A49" s="179" t="inlineStr">
        <is>
          <t>geo: and dbo:</t>
        </is>
      </c>
      <c r="B49" s="180" t="inlineStr">
        <is>
          <t>Coordinates and DBpedia terms</t>
        </is>
      </c>
      <c r="C49" s="180" t="inlineStr">
        <is>
          <t>Abesova</t>
        </is>
      </c>
      <c r="D49" s="180" t="inlineStr">
        <is>
          <t>Country to capital city to lat and long, for a map</t>
        </is>
      </c>
      <c r="E49" s="181" t="inlineStr">
        <is>
          <t>no</t>
        </is>
      </c>
      <c r="F49" s="180" t="inlineStr">
        <is>
          <t>Wikidata is better maintained now</t>
        </is>
      </c>
      <c r="G49" s="182" t="inlineStr">
        <is>
          <t>dbpedia.org</t>
        </is>
      </c>
    </row>
    <row r="50" ht="24" customHeight="1" s="49">
      <c r="A50" s="160" t="inlineStr">
        <is>
          <t>6. Outside data I link to</t>
        </is>
      </c>
    </row>
    <row r="51" ht="32" customHeight="1" s="49">
      <c r="A51" s="179" t="inlineStr">
        <is>
          <t>CosIng</t>
        </is>
      </c>
      <c r="B51" s="180" t="inlineStr">
        <is>
          <t>The EU official ingredient database</t>
        </is>
      </c>
      <c r="C51" s="180" t="inlineStr">
        <is>
          <t>-</t>
        </is>
      </c>
      <c r="D51" s="180" t="inlineStr">
        <is>
          <t>-</t>
        </is>
      </c>
      <c r="E51" s="181" t="inlineStr">
        <is>
          <t>yes</t>
        </is>
      </c>
      <c r="F51" s="180" t="inlineStr">
        <is>
          <t>My ingredients get a legal status. The whole point</t>
        </is>
      </c>
      <c r="G51" s="182" t="inlineStr">
        <is>
          <t>ec.europa.eu/growth/tools-databases/cosing</t>
        </is>
      </c>
    </row>
    <row r="52" ht="19" customHeight="1" s="49">
      <c r="A52" s="179" t="inlineStr">
        <is>
          <t>CosIng-KG</t>
        </is>
      </c>
      <c r="B52" s="180" t="inlineStr">
        <is>
          <t>CosIng already turned into RDF</t>
        </is>
      </c>
      <c r="C52" s="180" t="inlineStr">
        <is>
          <t>-</t>
        </is>
      </c>
      <c r="D52" s="180" t="inlineStr">
        <is>
          <t>-</t>
        </is>
      </c>
      <c r="E52" s="181" t="inlineStr">
        <is>
          <t>check</t>
        </is>
      </c>
      <c r="F52" s="180" t="inlineStr">
        <is>
          <t>If it works I reuse it and save weeks</t>
        </is>
      </c>
      <c r="G52" s="182" t="inlineStr">
        <is>
          <t>github.com/biobricks-ai/cosing-kg</t>
        </is>
      </c>
    </row>
    <row r="53" ht="32" customHeight="1" s="49">
      <c r="A53" s="179" t="inlineStr">
        <is>
          <t>DermO</t>
        </is>
      </c>
      <c r="B53" s="180" t="inlineStr">
        <is>
          <t>3,000 skin disease terms by dermatologists</t>
        </is>
      </c>
      <c r="C53" s="180" t="inlineStr">
        <is>
          <t>DermO 2016</t>
        </is>
      </c>
      <c r="D53" s="180" t="inlineStr">
        <is>
          <t>Built with OBO tooling and Protege, published on BioPortal</t>
        </is>
      </c>
      <c r="E53" s="181" t="inlineStr">
        <is>
          <t>yes</t>
        </is>
      </c>
      <c r="F53" s="180" t="inlineStr">
        <is>
          <t>Fixes my medical claims in six lines</t>
        </is>
      </c>
      <c r="G53" s="182" t="inlineStr">
        <is>
          <t>bioportal.bioontology.org</t>
        </is>
      </c>
    </row>
    <row r="54" ht="19" customHeight="1" s="49">
      <c r="A54" s="179" t="inlineStr">
        <is>
          <t>TXPO</t>
        </is>
      </c>
      <c r="B54" s="180" t="inlineStr">
        <is>
          <t>Toxic process ontology, from OBO</t>
        </is>
      </c>
      <c r="C54" s="180" t="inlineStr">
        <is>
          <t>TOXIN KG</t>
        </is>
      </c>
      <c r="D54" s="180" t="inlineStr">
        <is>
          <t>Used as the backbone of their graph</t>
        </is>
      </c>
      <c r="E54" s="181" t="inlineStr">
        <is>
          <t>no</t>
        </is>
      </c>
      <c r="F54" s="180" t="inlineStr">
        <is>
          <t>Too deep into toxicology mechanisms</t>
        </is>
      </c>
      <c r="G54" s="182" t="inlineStr">
        <is>
          <t>obofoundry.org</t>
        </is>
      </c>
    </row>
    <row r="55" ht="32" customHeight="1" s="49">
      <c r="A55" s="179" t="inlineStr">
        <is>
          <t>Wikidata</t>
        </is>
      </c>
      <c r="B55" s="180" t="inlineStr">
        <is>
          <t>Wikipedia facts, queryable</t>
        </is>
      </c>
      <c r="C55" s="180" t="inlineStr">
        <is>
          <t>-</t>
        </is>
      </c>
      <c r="D55" s="180" t="inlineStr">
        <is>
          <t>-</t>
        </is>
      </c>
      <c r="E55" s="181" t="inlineStr">
        <is>
          <t>yes</t>
        </is>
      </c>
      <c r="F55" s="180" t="inlineStr">
        <is>
          <t>Gives me brand ownership, one line per brand</t>
        </is>
      </c>
      <c r="G55" s="182" t="inlineStr">
        <is>
          <t>wikidata.org</t>
        </is>
      </c>
    </row>
    <row r="56" ht="32" customHeight="1" s="49">
      <c r="A56" s="179" t="inlineStr">
        <is>
          <t>DBpedia</t>
        </is>
      </c>
      <c r="B56" s="180" t="inlineStr">
        <is>
          <t>Older Wikipedia graph</t>
        </is>
      </c>
      <c r="C56" s="180" t="inlineStr">
        <is>
          <t>Abesova, Di Noia</t>
        </is>
      </c>
      <c r="D56" s="180" t="inlineStr">
        <is>
          <t>Abesova pulled countries and map coordinates live</t>
        </is>
      </c>
      <c r="E56" s="181" t="inlineStr">
        <is>
          <t>maybe</t>
        </is>
      </c>
      <c r="F56" s="180" t="inlineStr">
        <is>
          <t>Wikidata is better maintained</t>
        </is>
      </c>
      <c r="G56" s="182" t="inlineStr">
        <is>
          <t>dbpedia.org</t>
        </is>
      </c>
    </row>
    <row r="57" ht="32" customHeight="1" s="49">
      <c r="A57" s="179" t="inlineStr">
        <is>
          <t>LOV</t>
        </is>
      </c>
      <c r="B57" s="180" t="inlineStr">
        <is>
          <t>Search engine for existing vocabularies</t>
        </is>
      </c>
      <c r="C57" s="180" t="inlineStr">
        <is>
          <t>-</t>
        </is>
      </c>
      <c r="D57" s="180" t="inlineStr">
        <is>
          <t>-</t>
        </is>
      </c>
      <c r="E57" s="181" t="inlineStr">
        <is>
          <t>yes</t>
        </is>
      </c>
      <c r="F57" s="180" t="inlineStr">
        <is>
          <t>Search before inventing a term. Amateur test</t>
        </is>
      </c>
      <c r="G57" s="182" t="inlineStr">
        <is>
          <t>lov.linkeddata.es</t>
        </is>
      </c>
    </row>
    <row r="58" ht="24" customHeight="1" s="49">
      <c r="A58" s="160" t="inlineStr">
        <is>
          <t>7. Checking and publishing</t>
        </is>
      </c>
    </row>
    <row r="59" ht="32" customHeight="1" s="49">
      <c r="A59" s="179" t="inlineStr">
        <is>
          <t>OOPS!</t>
        </is>
      </c>
      <c r="B59" s="180" t="inlineStr">
        <is>
          <t>Free website that finds ontology errors</t>
        </is>
      </c>
      <c r="C59" s="180" t="inlineStr">
        <is>
          <t>-</t>
        </is>
      </c>
      <c r="D59" s="180" t="inlineStr">
        <is>
          <t>-</t>
        </is>
      </c>
      <c r="E59" s="181" t="inlineStr">
        <is>
          <t>yes</t>
        </is>
      </c>
      <c r="F59" s="180" t="inlineStr">
        <is>
          <t>One afternoon buys a real evaluation section</t>
        </is>
      </c>
      <c r="G59" s="182" t="inlineStr">
        <is>
          <t>oops.linkeddata.es</t>
        </is>
      </c>
    </row>
    <row r="60" ht="32" customHeight="1" s="49">
      <c r="A60" s="179" t="inlineStr">
        <is>
          <t>FOOPS!</t>
        </is>
      </c>
      <c r="B60" s="180" t="inlineStr">
        <is>
          <t>Scores how findable and reusable it is</t>
        </is>
      </c>
      <c r="C60" s="180" t="inlineStr">
        <is>
          <t>-</t>
        </is>
      </c>
      <c r="D60" s="180" t="inlineStr">
        <is>
          <t>-</t>
        </is>
      </c>
      <c r="E60" s="181" t="inlineStr">
        <is>
          <t>yes</t>
        </is>
      </c>
      <c r="F60" s="180" t="inlineStr">
        <is>
          <t>I criticise everyone for not publishing</t>
        </is>
      </c>
      <c r="G60" s="182" t="inlineStr">
        <is>
          <t>w3id.org/foops</t>
        </is>
      </c>
    </row>
    <row r="61" ht="32" customHeight="1" s="49">
      <c r="A61" s="179" t="inlineStr">
        <is>
          <t>OntoMetrics</t>
        </is>
      </c>
      <c r="B61" s="180" t="inlineStr">
        <is>
          <t>Depth, breadth, structural numbers</t>
        </is>
      </c>
      <c r="C61" s="180" t="inlineStr">
        <is>
          <t>-</t>
        </is>
      </c>
      <c r="D61" s="180" t="inlineStr">
        <is>
          <t>-</t>
        </is>
      </c>
      <c r="E61" s="181" t="inlineStr">
        <is>
          <t>yes</t>
        </is>
      </c>
      <c r="F61" s="180" t="inlineStr">
        <is>
          <t>Comparable figures for the evaluation table</t>
        </is>
      </c>
      <c r="G61" s="182" t="inlineStr">
        <is>
          <t>ontometrics.uni-rostock.de</t>
        </is>
      </c>
    </row>
    <row r="62" ht="32" customHeight="1" s="49">
      <c r="A62" s="179" t="inlineStr">
        <is>
          <t>WIDOCO</t>
        </is>
      </c>
      <c r="B62" s="180" t="inlineStr">
        <is>
          <t>Makes a docs page from the ontology</t>
        </is>
      </c>
      <c r="C62" s="180" t="inlineStr">
        <is>
          <t>-</t>
        </is>
      </c>
      <c r="D62" s="180" t="inlineStr">
        <is>
          <t>-</t>
        </is>
      </c>
      <c r="E62" s="181" t="inlineStr">
        <is>
          <t>yes</t>
        </is>
      </c>
      <c r="F62" s="180" t="inlineStr">
        <is>
          <t>The docs cannot drift from the file</t>
        </is>
      </c>
      <c r="G62" s="182" t="inlineStr">
        <is>
          <t>github.com/dgarijo/Widoco</t>
        </is>
      </c>
    </row>
    <row r="63" ht="19" customHeight="1" s="49">
      <c r="A63" s="179" t="inlineStr">
        <is>
          <t>w3id.org</t>
        </is>
      </c>
      <c r="B63" s="180" t="inlineStr">
        <is>
          <t>A permanent web address</t>
        </is>
      </c>
      <c r="C63" s="180" t="inlineStr">
        <is>
          <t>OntoCosmetic</t>
        </is>
      </c>
      <c r="D63" s="180" t="inlineStr">
        <is>
          <t>purl.org address that still works today</t>
        </is>
      </c>
      <c r="E63" s="181" t="inlineStr">
        <is>
          <t>yes</t>
        </is>
      </c>
      <c r="F63" s="180" t="inlineStr">
        <is>
          <t>A university URL dies when I graduate</t>
        </is>
      </c>
      <c r="G63" s="182" t="inlineStr">
        <is>
          <t>w3id.org</t>
        </is>
      </c>
    </row>
    <row r="64" ht="19" customHeight="1" s="49">
      <c r="A64" s="179" t="inlineStr">
        <is>
          <t>Zenodo</t>
        </is>
      </c>
      <c r="B64" s="180" t="inlineStr">
        <is>
          <t>Gives each release a DOI</t>
        </is>
      </c>
      <c r="C64" s="180" t="inlineStr">
        <is>
          <t>-</t>
        </is>
      </c>
      <c r="D64" s="180" t="inlineStr">
        <is>
          <t>-</t>
        </is>
      </c>
      <c r="E64" s="181" t="inlineStr">
        <is>
          <t>yes</t>
        </is>
      </c>
      <c r="F64" s="180" t="inlineStr">
        <is>
          <t>1 in 6 competitors publishes. I will</t>
        </is>
      </c>
      <c r="G64" s="182" t="inlineStr">
        <is>
          <t>zenodo.org</t>
        </is>
      </c>
    </row>
    <row r="65" ht="24" customHeight="1" s="49">
      <c r="A65" s="160" t="inlineStr">
        <is>
          <t>8. Methods</t>
        </is>
      </c>
    </row>
    <row r="66" ht="32" customHeight="1" s="49">
      <c r="A66" s="179" t="inlineStr">
        <is>
          <t>METHONTOLOGY</t>
        </is>
      </c>
      <c r="B66" s="180" t="inlineStr">
        <is>
          <t>Older, document-heavy method</t>
        </is>
      </c>
      <c r="C66" s="180" t="inlineStr">
        <is>
          <t>bit-Tech, Utari</t>
        </is>
      </c>
      <c r="D66" s="180" t="inlineStr">
        <is>
          <t>Both named it as their method</t>
        </is>
      </c>
      <c r="E66" s="181" t="inlineStr">
        <is>
          <t>no</t>
        </is>
      </c>
      <c r="F66" s="180" t="inlineStr">
        <is>
          <t>Thorough but old. I take its glossary step</t>
        </is>
      </c>
      <c r="G66" s="182" t="inlineStr">
        <is>
          <t>search: Fernandez-Lopez 1997</t>
        </is>
      </c>
    </row>
    <row r="67" ht="32" customHeight="1" s="49">
      <c r="A67" s="179" t="inlineStr">
        <is>
          <t>Middle-out</t>
        </is>
      </c>
      <c r="B67" s="180" t="inlineStr">
        <is>
          <t>Start in the middle, grow both ways</t>
        </is>
      </c>
      <c r="C67" s="180" t="inlineStr">
        <is>
          <t>Abesova</t>
        </is>
      </c>
      <c r="D67" s="180" t="inlineStr">
        <is>
          <t>Started from a base ontology, let the CSV widen it</t>
        </is>
      </c>
      <c r="E67" s="181" t="inlineStr">
        <is>
          <t>maybe</t>
        </is>
      </c>
      <c r="F67" s="180" t="inlineStr">
        <is>
          <t>Honest, but it is what you do by accident</t>
        </is>
      </c>
      <c r="G67" s="182" t="inlineStr">
        <is>
          <t>-</t>
        </is>
      </c>
    </row>
    <row r="68" ht="19" customHeight="1" s="49">
      <c r="A68" s="179" t="inlineStr">
        <is>
          <t>MOMo</t>
        </is>
      </c>
      <c r="B68" s="180" t="inlineStr">
        <is>
          <t>Modular ontology modeling</t>
        </is>
      </c>
      <c r="C68" s="180" t="inlineStr">
        <is>
          <t>-</t>
        </is>
      </c>
      <c r="D68" s="180" t="inlineStr">
        <is>
          <t>-</t>
        </is>
      </c>
      <c r="E68" s="181" t="inlineStr">
        <is>
          <t>yes</t>
        </is>
      </c>
      <c r="F68" s="180" t="inlineStr">
        <is>
          <t>My four modules follow it</t>
        </is>
      </c>
      <c r="G68" s="182" t="inlineStr">
        <is>
          <t>search: Shimizu MOMo</t>
        </is>
      </c>
    </row>
    <row r="69" ht="19" customHeight="1" s="49">
      <c r="A69" s="179" t="inlineStr">
        <is>
          <t>LOT</t>
        </is>
      </c>
      <c r="B69" s="180" t="inlineStr">
        <is>
          <t>Linked Open Terms. Four steps</t>
        </is>
      </c>
      <c r="C69" s="180" t="inlineStr">
        <is>
          <t>-</t>
        </is>
      </c>
      <c r="D69" s="180" t="inlineStr">
        <is>
          <t>-</t>
        </is>
      </c>
      <c r="E69" s="181" t="inlineStr">
        <is>
          <t>yes</t>
        </is>
      </c>
      <c r="F69" s="180" t="inlineStr">
        <is>
          <t>Built around reuse and publishing</t>
        </is>
      </c>
      <c r="G69" s="182" t="inlineStr">
        <is>
          <t>lot.linkeddata.es</t>
        </is>
      </c>
    </row>
    <row r="70" ht="32" customHeight="1" s="49">
      <c r="A70" s="179" t="inlineStr">
        <is>
          <t>Noy &amp; McGuinness 101</t>
        </is>
      </c>
      <c r="B70" s="180" t="inlineStr">
        <is>
          <t>The classic seven-step guide</t>
        </is>
      </c>
      <c r="C70" s="180" t="inlineStr">
        <is>
          <t>-</t>
        </is>
      </c>
      <c r="D70" s="180" t="inlineStr">
        <is>
          <t>-</t>
        </is>
      </c>
      <c r="E70" s="181" t="inlineStr">
        <is>
          <t>cite</t>
        </is>
      </c>
      <c r="F70" s="180" t="inlineStr">
        <is>
          <t>Everyone cites it. Too light to be my method</t>
        </is>
      </c>
      <c r="G70" s="182" t="inlineStr">
        <is>
          <t>protege.stanford.edu/publications</t>
        </is>
      </c>
    </row>
    <row r="71" ht="32" customHeight="1" s="49">
      <c r="A71" s="179" t="inlineStr">
        <is>
          <t>Competency questions</t>
        </is>
      </c>
      <c r="B71" s="180" t="inlineStr">
        <is>
          <t>Questions the ontology must answer</t>
        </is>
      </c>
      <c r="C71" s="180" t="inlineStr">
        <is>
          <t>COPPER</t>
        </is>
      </c>
      <c r="D71" s="180" t="inlineStr">
        <is>
          <t>Used them as one of three evaluation layers</t>
        </is>
      </c>
      <c r="E71" s="181" t="inlineStr">
        <is>
          <t>yes</t>
        </is>
      </c>
      <c r="F71" s="180" t="inlineStr">
        <is>
          <t>Turns 'is it good' into something testable</t>
        </is>
      </c>
      <c r="G71" s="182" t="inlineStr">
        <is>
          <t>-</t>
        </is>
      </c>
    </row>
    <row r="72" ht="32" customHeight="1" s="49">
      <c r="A72" s="179" t="inlineStr">
        <is>
          <t>OBO principles</t>
        </is>
      </c>
      <c r="B72" s="180" t="inlineStr">
        <is>
          <t>Rules for building shared ontologies</t>
        </is>
      </c>
      <c r="C72" s="180" t="inlineStr">
        <is>
          <t>COPPER, DermO</t>
        </is>
      </c>
      <c r="D72" s="180" t="inlineStr">
        <is>
          <t>COPPER checked its process against them</t>
        </is>
      </c>
      <c r="E72" s="181" t="inlineStr">
        <is>
          <t>maybe</t>
        </is>
      </c>
      <c r="F72" s="180" t="inlineStr">
        <is>
          <t>Good practice to cite even if I do not join</t>
        </is>
      </c>
      <c r="G72" s="182" t="inlineStr">
        <is>
          <t>obofoundry.org</t>
        </is>
      </c>
    </row>
    <row r="73" ht="24" customHeight="1" s="49">
      <c r="A73" s="160" t="inlineStr">
        <is>
          <t>9. Used by the papers, not by me</t>
        </is>
      </c>
    </row>
    <row r="74" ht="32" customHeight="1" s="49">
      <c r="A74" s="179" t="inlineStr">
        <is>
          <t>CCBR</t>
        </is>
      </c>
      <c r="B74" s="180" t="inlineStr">
        <is>
          <t>Conversational case-based reasoning</t>
        </is>
      </c>
      <c r="C74" s="180" t="inlineStr">
        <is>
          <t>Moe &amp; Aung</t>
        </is>
      </c>
      <c r="D74" s="180" t="inlineStr">
        <is>
          <t>Six questions turn a vague complaint into a query</t>
        </is>
      </c>
      <c r="E74" s="181" t="inlineStr">
        <is>
          <t>no</t>
        </is>
      </c>
      <c r="F74" s="180" t="inlineStr">
        <is>
          <t>Needs a hand-built case base</t>
        </is>
      </c>
      <c r="G74" s="182" t="inlineStr">
        <is>
          <t>-</t>
        </is>
      </c>
    </row>
    <row r="75" ht="32" customHeight="1" s="49">
      <c r="A75" s="179" t="inlineStr">
        <is>
          <t>Ford-Fulkerson</t>
        </is>
      </c>
      <c r="B75" s="180" t="inlineStr">
        <is>
          <t>A max-flow algorithm</t>
        </is>
      </c>
      <c r="C75" s="180" t="inlineStr">
        <is>
          <t>Moe &amp; Aung</t>
        </is>
      </c>
      <c r="D75" s="180" t="inlineStr">
        <is>
          <t>Scored products by how much need they satisfy</t>
        </is>
      </c>
      <c r="E75" s="181" t="inlineStr">
        <is>
          <t>no</t>
        </is>
      </c>
      <c r="F75" s="180" t="inlineStr">
        <is>
          <t>A weighted filter does the same for me</t>
        </is>
      </c>
      <c r="G75" s="182" t="inlineStr">
        <is>
          <t>-</t>
        </is>
      </c>
    </row>
    <row r="76" ht="32" customHeight="1" s="49">
      <c r="A76" s="179" t="inlineStr">
        <is>
          <t>CNN</t>
        </is>
      </c>
      <c r="B76" s="180" t="inlineStr">
        <is>
          <t>Neural net that reads images</t>
        </is>
      </c>
      <c r="C76" s="180" t="inlineStr">
        <is>
          <t>Hansanie, Lee (lululab)</t>
        </is>
      </c>
      <c r="D76" s="180" t="inlineStr">
        <is>
          <t>Graded acne from a face photo</t>
        </is>
      </c>
      <c r="E76" s="181" t="inlineStr">
        <is>
          <t>no</t>
        </is>
      </c>
      <c r="F76" s="180" t="inlineStr">
        <is>
          <t>No photos, no ethics approval</t>
        </is>
      </c>
      <c r="G76" s="182" t="inlineStr">
        <is>
          <t>-</t>
        </is>
      </c>
    </row>
    <row r="77" ht="19" customHeight="1" s="49">
      <c r="A77" s="179" t="inlineStr">
        <is>
          <t>Graph attention network</t>
        </is>
      </c>
      <c r="B77" s="180" t="inlineStr">
        <is>
          <t>Neural net over a graph</t>
        </is>
      </c>
      <c r="C77" s="180" t="inlineStr">
        <is>
          <t>HaCKG</t>
        </is>
      </c>
      <c r="D77" s="180" t="inlineStr">
        <is>
          <t>Predicted halal status from the graph</t>
        </is>
      </c>
      <c r="E77" s="181" t="inlineStr">
        <is>
          <t>no</t>
        </is>
      </c>
      <c r="F77" s="180" t="inlineStr">
        <is>
          <t>Future work. Needs interaction data</t>
        </is>
      </c>
      <c r="G77" s="182" t="inlineStr">
        <is>
          <t>-</t>
        </is>
      </c>
    </row>
    <row r="78" ht="32" customHeight="1" s="49">
      <c r="A78" s="179" t="inlineStr">
        <is>
          <t>AHP</t>
        </is>
      </c>
      <c r="B78" s="180" t="inlineStr">
        <is>
          <t>Weigh criteria by comparing in pairs</t>
        </is>
      </c>
      <c r="C78" s="180" t="inlineStr">
        <is>
          <t>OntoCosmetic</t>
        </is>
      </c>
      <c r="D78" s="180" t="inlineStr">
        <is>
          <t>Ranked ingredients on several properties at once</t>
        </is>
      </c>
      <c r="E78" s="181" t="inlineStr">
        <is>
          <t>maybe</t>
        </is>
      </c>
      <c r="F78" s="180" t="inlineStr">
        <is>
          <t>Could rank on price and availability</t>
        </is>
      </c>
      <c r="G78" s="182" t="inlineStr">
        <is>
          <t>search: Saaty AHP</t>
        </is>
      </c>
    </row>
    <row r="79" ht="19" customHeight="1" s="49">
      <c r="A79" s="179" t="inlineStr">
        <is>
          <t>AttrakDiff</t>
        </is>
      </c>
      <c r="B79" s="180" t="inlineStr">
        <is>
          <t>User experience questionnaire</t>
        </is>
      </c>
      <c r="C79" s="180" t="inlineStr">
        <is>
          <t>OntoCosmetic</t>
        </is>
      </c>
      <c r="D79" s="180" t="inlineStr">
        <is>
          <t>Ran it between design iterations</t>
        </is>
      </c>
      <c r="E79" s="181" t="inlineStr">
        <is>
          <t>maybe</t>
        </is>
      </c>
      <c r="F79" s="180" t="inlineStr">
        <is>
          <t>Only if I build an interface</t>
        </is>
      </c>
      <c r="G79" s="182" t="inlineStr">
        <is>
          <t>attrakdiff.de</t>
        </is>
      </c>
    </row>
    <row r="80" ht="32" customHeight="1" s="49">
      <c r="A80" s="179" t="inlineStr">
        <is>
          <t>SUS and MAE</t>
        </is>
      </c>
      <c r="B80" s="180" t="inlineStr">
        <is>
          <t>Usability score, and rating error</t>
        </is>
      </c>
      <c r="C80" s="180" t="inlineStr">
        <is>
          <t>Mahadewi</t>
        </is>
      </c>
      <c r="D80" s="180" t="inlineStr">
        <is>
          <t>The two numbers they report</t>
        </is>
      </c>
      <c r="E80" s="181" t="inlineStr">
        <is>
          <t>no</t>
        </is>
      </c>
      <c r="F80" s="180" t="inlineStr">
        <is>
          <t>FEVR says match evaluation to the goal</t>
        </is>
      </c>
      <c r="G80" s="182" t="inlineStr">
        <is>
          <t>-</t>
        </is>
      </c>
    </row>
    <row r="81" ht="19" customHeight="1" s="49">
      <c r="A81" s="179" t="inlineStr">
        <is>
          <t>Slope One</t>
        </is>
      </c>
      <c r="B81" s="180" t="inlineStr">
        <is>
          <t>Simple collaborative filtering</t>
        </is>
      </c>
      <c r="C81" s="180" t="inlineStr">
        <is>
          <t>Mahadewi</t>
        </is>
      </c>
      <c r="D81" s="180" t="inlineStr">
        <is>
          <t>Predicted ratings from item differences</t>
        </is>
      </c>
      <c r="E81" s="181" t="inlineStr">
        <is>
          <t>no</t>
        </is>
      </c>
      <c r="F81" s="180" t="inlineStr">
        <is>
          <t>Needs a ratings matrix I do not have</t>
        </is>
      </c>
      <c r="G81" s="182" t="inlineStr">
        <is>
          <t>-</t>
        </is>
      </c>
    </row>
    <row r="82" ht="32" customHeight="1" s="49">
      <c r="A82" s="179" t="inlineStr">
        <is>
          <t>Precision / recall / F</t>
        </is>
      </c>
      <c r="B82" s="180" t="inlineStr">
        <is>
          <t>Standard accuracy measures</t>
        </is>
      </c>
      <c r="C82" s="180" t="inlineStr">
        <is>
          <t>Moe &amp; Aung, Hansanie, E-Prod</t>
        </is>
      </c>
      <c r="D82" s="180" t="inlineStr">
        <is>
          <t>Reported as the whole evaluation</t>
        </is>
      </c>
      <c r="E82" s="181" t="inlineStr">
        <is>
          <t>no</t>
        </is>
      </c>
      <c r="F82" s="180" t="inlineStr">
        <is>
          <t>Wrong measure for a knowledge graph</t>
        </is>
      </c>
      <c r="G82" s="182" t="inlineStr">
        <is>
          <t>-</t>
        </is>
      </c>
    </row>
    <row r="83" ht="32" customHeight="1" s="49">
      <c r="A83" s="179" t="inlineStr">
        <is>
          <t>Sequential pattern mining</t>
        </is>
      </c>
      <c r="B83" s="180" t="inlineStr">
        <is>
          <t>Finds common orderings</t>
        </is>
      </c>
      <c r="C83" s="180" t="inlineStr">
        <is>
          <t>Tarus</t>
        </is>
      </c>
      <c r="D83" s="180" t="inlineStr">
        <is>
          <t>Learned the order people consume things in</t>
        </is>
      </c>
      <c r="E83" s="181" t="inlineStr">
        <is>
          <t>no</t>
        </is>
      </c>
      <c r="F83" s="180" t="inlineStr">
        <is>
          <t>My routine_step does this by rule</t>
        </is>
      </c>
      <c r="G83" s="182" t="inlineStr">
        <is>
          <t>-</t>
        </is>
      </c>
    </row>
    <row r="84" ht="32" customHeight="1" s="49">
      <c r="A84" s="179" t="inlineStr">
        <is>
          <t>SMILES</t>
        </is>
      </c>
      <c r="B84" s="180" t="inlineStr">
        <is>
          <t>Text form of a molecule's structure</t>
        </is>
      </c>
      <c r="C84" s="180" t="inlineStr">
        <is>
          <t>TOXIN KG</t>
        </is>
      </c>
      <c r="D84" s="180" t="inlineStr">
        <is>
          <t>Every chemical gets a structure string</t>
        </is>
      </c>
      <c r="E84" s="181" t="inlineStr">
        <is>
          <t>no</t>
        </is>
      </c>
      <c r="F84" s="180" t="inlineStr">
        <is>
          <t>I have CAS numbers from CosIng</t>
        </is>
      </c>
      <c r="G84" s="182" t="inlineStr">
        <is>
          <t>-</t>
        </is>
      </c>
    </row>
    <row r="85" ht="32" customHeight="1" s="49">
      <c r="A85" s="179" t="inlineStr">
        <is>
          <t>GraphRAG</t>
        </is>
      </c>
      <c r="B85" s="180" t="inlineStr">
        <is>
          <t>Ontology-grounded graph feeding an LLM</t>
        </is>
      </c>
      <c r="C85" s="180" t="inlineStr">
        <is>
          <t>Ali 2026</t>
        </is>
      </c>
      <c r="D85" s="180" t="inlineStr">
        <is>
          <t>The graph stops the model inventing answers</t>
        </is>
      </c>
      <c r="E85" s="181" t="inlineStr">
        <is>
          <t>no</t>
        </is>
      </c>
      <c r="F85" s="180" t="inlineStr">
        <is>
          <t>My future work chapter</t>
        </is>
      </c>
      <c r="G85" s="182" t="inlineStr">
        <is>
          <t>-</t>
        </is>
      </c>
    </row>
    <row r="86" ht="19" customHeight="1" s="49">
      <c r="A86" s="179" t="inlineStr">
        <is>
          <t>Tkinter</t>
        </is>
      </c>
      <c r="B86" s="180" t="inlineStr">
        <is>
          <t>Python desktop windows</t>
        </is>
      </c>
      <c r="C86" s="180" t="inlineStr">
        <is>
          <t>Hansanie &amp; Silva</t>
        </is>
      </c>
      <c r="D86" s="180" t="inlineStr">
        <is>
          <t>Built their desktop app with it</t>
        </is>
      </c>
      <c r="E86" s="181" t="inlineStr">
        <is>
          <t>no</t>
        </is>
      </c>
      <c r="F86" s="180" t="inlineStr">
        <is>
          <t>I am not building a desktop app</t>
        </is>
      </c>
      <c r="G86" s="182" t="inlineStr">
        <is>
          <t>-</t>
        </is>
      </c>
    </row>
  </sheetData>
  <mergeCells count="11">
    <mergeCell ref="A13:G13"/>
    <mergeCell ref="A44:G44"/>
    <mergeCell ref="A58:G58"/>
    <mergeCell ref="A1:G1"/>
    <mergeCell ref="A40:G40"/>
    <mergeCell ref="A50:G50"/>
    <mergeCell ref="A2:G2"/>
    <mergeCell ref="A28:G28"/>
    <mergeCell ref="A73:G73"/>
    <mergeCell ref="A65:G65"/>
    <mergeCell ref="A5:G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9"/>
  <sheetViews>
    <sheetView showGridLines="0"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style="49" min="1" max="1"/>
    <col width="22" customWidth="1" style="49" min="2" max="2"/>
    <col width="46" customWidth="1" style="49" min="3" max="3"/>
    <col width="46" customWidth="1" style="49" min="4" max="4"/>
    <col width="46" customWidth="1" style="49" min="5" max="5"/>
    <col width="34" customWidth="1" style="49" min="6" max="6"/>
  </cols>
  <sheetData>
    <row r="1" ht="22" customHeight="1" s="49">
      <c r="A1" s="154" t="inlineStr">
        <is>
          <t>The gap</t>
        </is>
      </c>
    </row>
    <row r="2" ht="28" customHeight="1" s="49">
      <c r="A2" s="177" t="inlineStr">
        <is>
          <t>One row per paper. Column 3 is what their work does not have. Columns 4 and 5 are mine: what I do instead, and what I still do not have.</t>
        </is>
      </c>
    </row>
    <row r="3" ht="8" customHeight="1" s="49"/>
    <row r="4" ht="28" customHeight="1" s="49">
      <c r="A4" s="178" t="inlineStr">
        <is>
          <t>#</t>
        </is>
      </c>
      <c r="B4" s="178" t="inlineStr">
        <is>
          <t>Paper</t>
        </is>
      </c>
      <c r="C4" s="178" t="inlineStr">
        <is>
          <t>What they did</t>
        </is>
      </c>
      <c r="D4" s="178" t="inlineStr">
        <is>
          <t>What is missing in it</t>
        </is>
      </c>
      <c r="E4" s="178" t="inlineStr">
        <is>
          <t>What I do instead</t>
        </is>
      </c>
      <c r="F4" s="178" t="inlineStr">
        <is>
          <t>What they have that I do not</t>
        </is>
      </c>
    </row>
    <row r="5" ht="24" customHeight="1" s="49">
      <c r="A5" s="160" t="inlineStr">
        <is>
          <t>Group A. Skincare and cosmetics ontologies. My direct competitors. The gap has to be stated against these seven.</t>
        </is>
      </c>
    </row>
    <row r="6" ht="58" customHeight="1" s="49">
      <c r="A6" s="183" t="inlineStr">
        <is>
          <t>1</t>
        </is>
      </c>
      <c r="B6" s="184" t="inlineStr">
        <is>
          <t>Moe &amp; Aung 2014</t>
        </is>
      </c>
      <c r="C6" s="183" t="inlineStr">
        <is>
          <t>Two ontologies, one for cosmetics and one for skin problems. Six questions narrow you down, then a max-flow algorithm scores what is left.</t>
        </is>
      </c>
      <c r="D6" s="183" t="inlineStr">
        <is>
          <t>No reasoner. No SPARQL. No outside data. They never say how many products. Nothing can be downloaded.</t>
        </is>
      </c>
      <c r="E6" s="183" t="inlineStr">
        <is>
          <t>12,629 real products with real prices. A reasoner that runs. Every ingredient tied to the EU database.</t>
        </is>
      </c>
      <c r="F6" s="183" t="inlineStr">
        <is>
          <t>Their question-and-eliminate interaction is better than anything I have. I only have queries.</t>
        </is>
      </c>
    </row>
    <row r="7" ht="58" customHeight="1" s="49">
      <c r="A7" s="183" t="inlineStr">
        <is>
          <t>2</t>
        </is>
      </c>
      <c r="B7" s="184" t="inlineStr">
        <is>
          <t>OntoCosmetic 2021/23</t>
        </is>
      </c>
      <c r="C7" s="183" t="inlineStr">
        <is>
          <t>Helps a chemist formulate a cream. SWRL rules with a high and a low threshold per ingredient function. Published and downloadable.</t>
        </is>
      </c>
      <c r="D7" s="183" t="inlineStr">
        <is>
          <t>It is for the person making the product, not the person buying it. No shopper, no price, no availability, no skin type.</t>
        </is>
      </c>
      <c r="E7" s="183" t="inlineStr">
        <is>
          <t>The same chemistry idea, pointed at the buyer. Their rule shape is what I copy for my defined classes.</t>
        </is>
      </c>
      <c r="F7" s="183" t="inlineStr">
        <is>
          <t>They publish their OWL file at a permanent address and I have not. They also ran user testing across iterations.</t>
        </is>
      </c>
    </row>
    <row r="8" ht="45" customHeight="1" s="49">
      <c r="A8" s="183" t="inlineStr">
        <is>
          <t>3</t>
        </is>
      </c>
      <c r="B8" s="184" t="inlineStr">
        <is>
          <t>Hansanie &amp; Silva 2024</t>
        </is>
      </c>
      <c r="C8" s="183" t="inlineStr">
        <is>
          <t>A photo goes into a small CNN, the grade comes out, the ontology picks products. Pellet checks consistency.</t>
        </is>
      </c>
      <c r="D8" s="183" t="inlineStr">
        <is>
          <t>The ontology is small and never released. No SPARQL, no outside data. The CNN does the work and the ontology is decoration.</t>
        </is>
      </c>
      <c r="E8" s="183" t="inlineStr">
        <is>
          <t>No photos. The reasoning is the contribution, not an add-on. My ingredient layer is the part theirs does not have.</t>
        </is>
      </c>
      <c r="F8" s="183" t="inlineStr">
        <is>
          <t>They have a working app with an interface, and 24 people tested it. I have no interface.</t>
        </is>
      </c>
    </row>
    <row r="9" ht="58" customHeight="1" s="49">
      <c r="A9" s="183" t="inlineStr">
        <is>
          <t>4</t>
        </is>
      </c>
      <c r="B9" s="184" t="inlineStr">
        <is>
          <t>Abesova 2023 (VU)</t>
        </is>
      </c>
      <c r="C9" s="183" t="inlineStr">
        <is>
          <t>Student project. Sephora review CSV to RDF with OntoRefine, GraphDB, defined classes like 'OilyScore = 5', then SPARQL picks 9 products.</t>
        </is>
      </c>
      <c r="D9" s="183" t="inlineStr">
        <is>
          <t>Not peer reviewed. It recommends from review scores only and never looks inside the product. They admit one property was implemented wrong.</t>
        </is>
      </c>
      <c r="E9" s="183" t="inlineStr">
        <is>
          <t>The same defined-class method, but driven by ingredients instead of star ratings. That is their third limitation.</t>
        </is>
      </c>
      <c r="F9" s="183" t="inlineStr">
        <is>
          <t>They link to DBpedia for a live map, and they have a working country-to-shop link. My Lebanon layer does that for one country.</t>
        </is>
      </c>
    </row>
    <row r="10" ht="58" customHeight="1" s="49">
      <c r="A10" s="183" t="inlineStr">
        <is>
          <t>5</t>
        </is>
      </c>
      <c r="B10" s="184" t="inlineStr">
        <is>
          <t>bit-Tech 2025</t>
        </is>
      </c>
      <c r="C10" s="183" t="inlineStr">
        <is>
          <t>METHONTOLOGY, Apache Jena Fuseki, SPARQL with reasoning, about 3,800 products. My closest competitor on paper.</t>
        </is>
      </c>
      <c r="D10" s="183" t="inlineStr">
        <is>
          <t>I only have the abstract. No ingredients, no regulation link, no provenance mentioned.</t>
        </is>
      </c>
      <c r="E10" s="183" t="inlineStr">
        <is>
          <t>Ingredients tied to EU law, four levels of evidence, and real shop availability. None of which they claim.</t>
        </is>
      </c>
      <c r="F10" s="183" t="inlineStr">
        <is>
          <t>3,800 products, in a published venue, with a named method, already finished. I need the full PDF before I can say more.</t>
        </is>
      </c>
    </row>
    <row r="11" ht="32" customHeight="1" s="49">
      <c r="A11" s="183" t="inlineStr">
        <is>
          <t>6</t>
        </is>
      </c>
      <c r="B11" s="184" t="inlineStr">
        <is>
          <t>Utari 2023</t>
        </is>
      </c>
      <c r="C11" s="183" t="inlineStr">
        <is>
          <t>METHONTOLOGY on 62 products, evaluated with SPARQL queries.</t>
        </is>
      </c>
      <c r="D11" s="183" t="inlineStr">
        <is>
          <t>62 products is a demonstration, not a system. No tools stated. Nothing downloadable.</t>
        </is>
      </c>
      <c r="E11" s="183" t="inlineStr">
        <is>
          <t>12,629 products, and every one has a source and a date.</t>
        </is>
      </c>
      <c r="F11" s="183" t="inlineStr">
        <is>
          <t>Nothing I can see.</t>
        </is>
      </c>
    </row>
    <row r="12" ht="45" customHeight="1" s="49">
      <c r="A12" s="183" t="inlineStr">
        <is>
          <t>7</t>
        </is>
      </c>
      <c r="B12" s="184" t="inlineStr">
        <is>
          <t>Mahadewi 2024</t>
        </is>
      </c>
      <c r="C12" s="183" t="inlineStr">
        <is>
          <t>Slope One collaborative filtering, measured with SUS and MAE.</t>
        </is>
      </c>
      <c r="D12" s="183" t="inlineStr">
        <is>
          <t>Not an ontology. It needs a ratings matrix, and it cannot explain why it recommended anything.</t>
        </is>
      </c>
      <c r="E12" s="183" t="inlineStr">
        <is>
          <t>Reasoning that can show its working. Cold start is not a problem for me.</t>
        </is>
      </c>
      <c r="F12" s="183" t="inlineStr">
        <is>
          <t>Two named evaluation instruments and real numbers. My evaluation is still on paper.</t>
        </is>
      </c>
    </row>
    <row r="13" ht="24" customHeight="1" s="49">
      <c r="A13" s="160" t="inlineStr">
        <is>
          <t>Group B. Ingredients, regulation and skin conditions. Not recommenders. These give my ingredient and concern layers a standing nobody in group A has.</t>
        </is>
      </c>
    </row>
    <row r="14" ht="45" customHeight="1" s="49">
      <c r="A14" s="183" t="inlineStr">
        <is>
          <t>8</t>
        </is>
      </c>
      <c r="B14" s="184" t="inlineStr">
        <is>
          <t>TOXIN KG 2025</t>
        </is>
      </c>
      <c r="C14" s="183" t="inlineStr">
        <is>
          <t>A toxicology graph. R2RML from spreadsheets, TXPO as the ontology, named graphs so every fact keeps its source.</t>
        </is>
      </c>
      <c r="D14" s="183" t="inlineStr">
        <is>
          <t>Toxicology, not cosmetics. No consumer anywhere in it.</t>
        </is>
      </c>
      <c r="E14" s="183" t="inlineStr">
        <is>
          <t>I take the named-graph idea. One graph per source: Skinsort, Amazon, the six Lebanese shops.</t>
        </is>
      </c>
      <c r="F14" s="183" t="inlineStr">
        <is>
          <t>Their provenance is further along than mine, and they score study reliability automatically.</t>
        </is>
      </c>
    </row>
    <row r="15" ht="45" customHeight="1" s="49">
      <c r="A15" s="183" t="inlineStr">
        <is>
          <t>9</t>
        </is>
      </c>
      <c r="B15" s="184" t="inlineStr">
        <is>
          <t>HaCKG 2025</t>
        </is>
      </c>
      <c r="C15" s="183" t="inlineStr">
        <is>
          <t>A neural graph network that predicts halal status from a knowledge graph.</t>
        </is>
      </c>
      <c r="D15" s="183" t="inlineStr">
        <is>
          <t>The reasoning sits inside a neural net, so it cannot explain itself. No rules.</t>
        </is>
      </c>
      <c r="E15" s="183" t="inlineStr">
        <is>
          <t>Rules I can print. Anyone can check a single decision by hand.</t>
        </is>
      </c>
      <c r="F15" s="183" t="inlineStr">
        <is>
          <t>It beats rule systems on accuracy, and it handles cases no rule covers.</t>
        </is>
      </c>
    </row>
    <row r="16" ht="45" customHeight="1" s="49">
      <c r="A16" s="183" t="inlineStr">
        <is>
          <t>10</t>
        </is>
      </c>
      <c r="B16" s="184" t="inlineStr">
        <is>
          <t>CosIng-KG</t>
        </is>
      </c>
      <c r="C16" s="183" t="inlineStr">
        <is>
          <t>CosIng already turned into RDF and published on GitHub.</t>
        </is>
      </c>
      <c r="D16" s="183" t="inlineStr">
        <is>
          <t>Not a paper, and I have not checked yet whether it works.</t>
        </is>
      </c>
      <c r="E16" s="183" t="inlineStr">
        <is>
          <t>If it is usable I reuse it and save weeks. If not, I build the ingredient layer myself.</t>
        </is>
      </c>
      <c r="F16" s="183" t="inlineStr">
        <is>
          <t>It may already hold a cleaner version of my whole ingredient layer.</t>
        </is>
      </c>
    </row>
    <row r="17" ht="32" customHeight="1" s="49">
      <c r="A17" s="183" t="inlineStr">
        <is>
          <t>11</t>
        </is>
      </c>
      <c r="B17" s="184" t="inlineStr">
        <is>
          <t>CCIBP 2023</t>
        </is>
      </c>
      <c r="C17" s="183" t="inlineStr">
        <is>
          <t>A chemical and biological database of cosmetic ingredients.</t>
        </is>
      </c>
      <c r="D17" s="183" t="inlineStr">
        <is>
          <t>A resource, not a system. No recommendation, no consumer.</t>
        </is>
      </c>
      <c r="E17" s="183" t="inlineStr">
        <is>
          <t>I use it to cross-check my ingredient names.</t>
        </is>
      </c>
      <c r="F17" s="183" t="inlineStr">
        <is>
          <t>Chemoinformatics depth I do not have.</t>
        </is>
      </c>
    </row>
    <row r="18" ht="45" customHeight="1" s="49">
      <c r="A18" s="183" t="inlineStr">
        <is>
          <t>12</t>
        </is>
      </c>
      <c r="B18" s="184" t="inlineStr">
        <is>
          <t>DermO 2016</t>
        </is>
      </c>
      <c r="C18" s="183" t="inlineStr">
        <is>
          <t>3,000 skin disease terms written by dermatologists, on BioPortal.</t>
        </is>
      </c>
      <c r="D18" s="183" t="inlineStr">
        <is>
          <t>A terminology. It does not recommend anything.</t>
        </is>
      </c>
      <c r="E18" s="183" t="inlineStr">
        <is>
          <t>I align my six concern values to it. Six lines of code, and my medical claims stop being my own invention.</t>
        </is>
      </c>
      <c r="F18" s="183" t="inlineStr">
        <is>
          <t>Clinical authority. Mine is borrowed from them.</t>
        </is>
      </c>
    </row>
    <row r="19" ht="45" customHeight="1" s="49">
      <c r="A19" s="183" t="inlineStr">
        <is>
          <t>13</t>
        </is>
      </c>
      <c r="B19" s="184" t="inlineStr">
        <is>
          <t>Halal flavouring 2024</t>
        </is>
      </c>
      <c r="C19" s="183" t="inlineStr">
        <is>
          <t>Ingredient to status to authority, with the certifying body as a real entity in the graph.</t>
        </is>
      </c>
      <c r="D19" s="183" t="inlineStr">
        <is>
          <t>Food, not cosmetics.</t>
        </is>
      </c>
      <c r="E19" s="183" t="inlineStr">
        <is>
          <t>I copy that three-part shape for CosIng annex status and for evidence levels.</t>
        </is>
      </c>
      <c r="F19" s="183" t="inlineStr">
        <is>
          <t>They consulted the certifying body. I have consulted nobody.</t>
        </is>
      </c>
    </row>
    <row r="20" ht="32" customHeight="1" s="49">
      <c r="A20" s="183" t="inlineStr">
        <is>
          <t>14</t>
        </is>
      </c>
      <c r="B20" s="184" t="inlineStr">
        <is>
          <t>Klaschka 2015</t>
        </is>
      </c>
      <c r="C20" s="183" t="inlineStr">
        <is>
          <t>Counts how many cosmetic ingredients carry hazard classifications under REACH and CLP.</t>
        </is>
      </c>
      <c r="D20" s="183" t="inlineStr">
        <is>
          <t>An analysis, not a tool.</t>
        </is>
      </c>
      <c r="E20" s="183" t="inlineStr">
        <is>
          <t>It gives me the sentence that justifies why a regulation link matters at all.</t>
        </is>
      </c>
      <c r="F20" s="183" t="inlineStr">
        <is>
          <t>Nothing structural.</t>
        </is>
      </c>
    </row>
    <row r="21" ht="32" customHeight="1" s="49">
      <c r="A21" s="183" t="inlineStr">
        <is>
          <t>15</t>
        </is>
      </c>
      <c r="B21" s="184" t="inlineStr">
        <is>
          <t>MVFM 2026</t>
        </is>
      </c>
      <c r="C21" s="183" t="inlineStr">
        <is>
          <t>A framework tested on three products by hand.</t>
        </is>
      </c>
      <c r="D21" s="183" t="inlineStr">
        <is>
          <t>Three products. No tools, no ontology file.</t>
        </is>
      </c>
      <c r="E21" s="183" t="inlineStr">
        <is>
          <t>Scale, and everything automated.</t>
        </is>
      </c>
      <c r="F21" s="183" t="inlineStr">
        <is>
          <t>Nothing.</t>
        </is>
      </c>
    </row>
    <row r="22" ht="24" customHeight="1" s="49">
      <c r="A22" s="160" t="inlineStr">
        <is>
          <t>Group C. Ontology recommenders in other fields. Nobody solved my problems in skincare. People solved them in food and shopping.</t>
        </is>
      </c>
    </row>
    <row r="23" ht="45" customHeight="1" s="49">
      <c r="A23" s="183" t="inlineStr">
        <is>
          <t>16</t>
        </is>
      </c>
      <c r="B23" s="184" t="inlineStr">
        <is>
          <t>Middleton 2004</t>
        </is>
      </c>
      <c r="C23" s="183" t="inlineStr">
        <is>
          <t>The paper that shows an ontology in a recommender is a reasonable choice. ACM TOIS, thousands of citations.</t>
        </is>
      </c>
      <c r="D23" s="183" t="inlineStr">
        <is>
          <t>Academic papers, not products. It predates SPARQL.</t>
        </is>
      </c>
      <c r="E23" s="183" t="inlineStr">
        <is>
          <t>I cite it first in the chapter. Its cold-start argument is my cold-start argument.</t>
        </is>
      </c>
      <c r="F23" s="183" t="inlineStr">
        <is>
          <t>Real deployments with real users over years. Mine is a dataset.</t>
        </is>
      </c>
    </row>
    <row r="24" ht="58" customHeight="1" s="49">
      <c r="A24" s="183" t="inlineStr">
        <is>
          <t>17</t>
        </is>
      </c>
      <c r="B24" s="184" t="inlineStr">
        <is>
          <t>FoodKG 2019/21</t>
        </is>
      </c>
      <c r="C24" s="183" t="inlineStr">
        <is>
          <t>Recipes, ingredients, nutrition from an authority, allergies as hard constraints. A SPARQL service on top. Published.</t>
        </is>
      </c>
      <c r="D24" s="183" t="inlineStr">
        <is>
          <t>Food. And they have no regulator the way I have CosIng.</t>
        </is>
      </c>
      <c r="E24" s="183" t="inlineStr">
        <is>
          <t>Almost the same shape as mine. Recipes are products, nutrition data is CosIng, allergies are the EU allergen list.</t>
        </is>
      </c>
      <c r="F24" s="183" t="inlineStr">
        <is>
          <t>Nearly everything. They publish, they state a maintenance plan, and they built several applications on one graph. This is my model.</t>
        </is>
      </c>
    </row>
    <row r="25" ht="32" customHeight="1" s="49">
      <c r="A25" s="183" t="inlineStr">
        <is>
          <t>18</t>
        </is>
      </c>
      <c r="B25" s="184" t="inlineStr">
        <is>
          <t>Di Noia / Ostuni</t>
        </is>
      </c>
      <c r="C25" s="183" t="inlineStr">
        <is>
          <t>Similarity computed from links in the graph, not from words. No ratings needed.</t>
        </is>
      </c>
      <c r="D25" s="183" t="inlineStr">
        <is>
          <t>Movies. And they say entity matching is the hard part.</t>
        </is>
      </c>
      <c r="E25" s="183" t="inlineStr">
        <is>
          <t>I can compute product similarity with no user history, which is my situation.</t>
        </is>
      </c>
      <c r="F25" s="183" t="inlineStr">
        <is>
          <t>Offline benchmarks against baselines.</t>
        </is>
      </c>
    </row>
    <row r="26" ht="32" customHeight="1" s="49">
      <c r="A26" s="183" t="inlineStr">
        <is>
          <t>19</t>
        </is>
      </c>
      <c r="B26" s="184" t="inlineStr">
        <is>
          <t>AliCoCo 2020</t>
        </is>
      </c>
      <c r="C26" s="183" t="inlineStr">
        <is>
          <t>Alibaba's own concept net, running at real scale.</t>
        </is>
      </c>
      <c r="D26" s="183" t="inlineStr">
        <is>
          <t>Internal, closed, and very large. Nothing reusable.</t>
        </is>
      </c>
      <c r="E26" s="183" t="inlineStr">
        <is>
          <t>I work at a size one person can check.</t>
        </is>
      </c>
      <c r="F26" s="183" t="inlineStr">
        <is>
          <t>Online metrics from millions of users.</t>
        </is>
      </c>
    </row>
    <row r="27" ht="32" customHeight="1" s="49">
      <c r="A27" s="183" t="inlineStr">
        <is>
          <t>20</t>
        </is>
      </c>
      <c r="B27" s="184" t="inlineStr">
        <is>
          <t>Guo survey 2022</t>
        </is>
      </c>
      <c r="C27" s="183" t="inlineStr">
        <is>
          <t>Surveys knowledge-graph recommenders and sorts them into families.</t>
        </is>
      </c>
      <c r="D27" s="183" t="inlineStr">
        <is>
          <t>A survey. Nothing built.</t>
        </is>
      </c>
      <c r="E27" s="183" t="inlineStr">
        <is>
          <t>It tells me which family I am in, so I can name it in the chapter.</t>
        </is>
      </c>
      <c r="F27" s="183" t="inlineStr">
        <is>
          <t>Nothing.</t>
        </is>
      </c>
    </row>
    <row r="28" ht="45" customHeight="1" s="49">
      <c r="A28" s="183" t="inlineStr">
        <is>
          <t>21</t>
        </is>
      </c>
      <c r="B28" s="184" t="inlineStr">
        <is>
          <t>E-Prod 2023</t>
        </is>
      </c>
      <c r="C28" s="183" t="inlineStr">
        <is>
          <t>Machine learning plus semantic matching, tested on 250+ real users against collaborative filtering.</t>
        </is>
      </c>
      <c r="D28" s="183" t="inlineStr">
        <is>
          <t>General e-commerce. No regulation, no chemistry.</t>
        </is>
      </c>
      <c r="E28" s="183" t="inlineStr">
        <is>
          <t>My matching is over ingredients, with a legal backing.</t>
        </is>
      </c>
      <c r="F28" s="183" t="inlineStr">
        <is>
          <t>250 real users. That is a proper evaluation and I do not have one.</t>
        </is>
      </c>
    </row>
    <row r="29" ht="32" customHeight="1" s="49">
      <c r="A29" s="183" t="inlineStr">
        <is>
          <t>22</t>
        </is>
      </c>
      <c r="B29" s="184" t="inlineStr">
        <is>
          <t>Lahoud 2022</t>
        </is>
      </c>
      <c r="C29" s="183" t="inlineStr">
        <is>
          <t>Ontology plus case-based reasoning, evaluated on Lebanese students.</t>
        </is>
      </c>
      <c r="D29" s="183" t="inlineStr">
        <is>
          <t>Not skincare.</t>
        </is>
      </c>
      <c r="E29" s="183" t="inlineStr">
        <is>
          <t>Proof that this kind of work gets done and published in Lebanon.</t>
        </is>
      </c>
      <c r="F29" s="183" t="inlineStr">
        <is>
          <t>A comparative evaluation with real local users.</t>
        </is>
      </c>
    </row>
    <row r="30" ht="24" customHeight="1" s="49">
      <c r="A30" s="160" t="inlineStr">
        <is>
          <t>Group D. Evaluation, and the alternative I have to answer. What counts as good, and the deep learning answer to the same problem.</t>
        </is>
      </c>
    </row>
    <row r="31" ht="45" customHeight="1" s="49">
      <c r="A31" s="183" t="inlineStr">
        <is>
          <t>23</t>
        </is>
      </c>
      <c r="B31" s="184" t="inlineStr">
        <is>
          <t>Rahayu review 2022</t>
        </is>
      </c>
      <c r="C31" s="183" t="inlineStr">
        <is>
          <t>Reviews 28 ontology-based recommender studies.</t>
        </is>
      </c>
      <c r="D31" s="183" t="inlineStr">
        <is>
          <t>A review.</t>
        </is>
      </c>
      <c r="E31" s="183" t="inlineStr">
        <is>
          <t>Its finding is my justification. Not one of the 28 described how it was evaluated. So I describe mine.</t>
        </is>
      </c>
      <c r="F31" s="183" t="inlineStr">
        <is>
          <t>Nothing.</t>
        </is>
      </c>
    </row>
    <row r="32" ht="32" customHeight="1" s="49">
      <c r="A32" s="183" t="inlineStr">
        <is>
          <t>24</t>
        </is>
      </c>
      <c r="B32" s="184" t="inlineStr">
        <is>
          <t>Tarus 2017</t>
        </is>
      </c>
      <c r="C32" s="183" t="inlineStr">
        <is>
          <t>Ontology plus sequential pattern mining for e-learning.</t>
        </is>
      </c>
      <c r="D32" s="183" t="inlineStr">
        <is>
          <t>E-learning.</t>
        </is>
      </c>
      <c r="E32" s="183" t="inlineStr">
        <is>
          <t>The idea that order matters. My routine_step column is the same instinct.</t>
        </is>
      </c>
      <c r="F32" s="183" t="inlineStr">
        <is>
          <t>Experiments against baselines.</t>
        </is>
      </c>
    </row>
    <row r="33" ht="45" customHeight="1" s="49">
      <c r="A33" s="183" t="inlineStr">
        <is>
          <t>25</t>
        </is>
      </c>
      <c r="B33" s="184" t="inlineStr">
        <is>
          <t>COPPER 2025</t>
        </is>
      </c>
      <c r="C33" s="183" t="inlineStr">
        <is>
          <t>Evaluated on three layers: the process against OBO principles, logical consistency, then competency questions.</t>
        </is>
      </c>
      <c r="D33" s="183" t="inlineStr">
        <is>
          <t>Not skincare.</t>
        </is>
      </c>
      <c r="E33" s="183" t="inlineStr">
        <is>
          <t>This is the evaluation design I copy. It is the most complete one in my review.</t>
        </is>
      </c>
      <c r="F33" s="183" t="inlineStr">
        <is>
          <t>They ran it. I have only planned it.</t>
        </is>
      </c>
    </row>
    <row r="34" ht="45" customHeight="1" s="49">
      <c r="A34" s="183" t="inlineStr">
        <is>
          <t>26</t>
        </is>
      </c>
      <c r="B34" s="184" t="inlineStr">
        <is>
          <t>FEVR 2022</t>
        </is>
      </c>
      <c r="C34" s="183" t="inlineStr">
        <is>
          <t>A framework for how ontology recommenders should be evaluated.</t>
        </is>
      </c>
      <c r="D34" s="183" t="inlineStr">
        <is>
          <t>A framework.</t>
        </is>
      </c>
      <c r="E34" s="183" t="inlineStr">
        <is>
          <t>It tells me to match the evaluation to the goal, instead of reporting precision by reflex.</t>
        </is>
      </c>
      <c r="F34" s="183" t="inlineStr">
        <is>
          <t>Nothing.</t>
        </is>
      </c>
    </row>
    <row r="35" ht="32" customHeight="1" s="49">
      <c r="A35" s="183" t="inlineStr">
        <is>
          <t>27</t>
        </is>
      </c>
      <c r="B35" s="184" t="inlineStr">
        <is>
          <t>Lee 2024 (lululab)</t>
        </is>
      </c>
      <c r="C35" s="183" t="inlineStr">
        <is>
          <t>A deep neural network plus AI skin analysis. No ontology.</t>
        </is>
      </c>
      <c r="D35" s="183" t="inlineStr">
        <is>
          <t>It cannot explain a single recommendation. No ingredients, no rules, no regulation.</t>
        </is>
      </c>
      <c r="E35" s="183" t="inlineStr">
        <is>
          <t>Everything I do can be inspected. That is the argument.</t>
        </is>
      </c>
      <c r="F35" s="183" t="inlineStr">
        <is>
          <t>It works today, at commercial scale, with real customers.</t>
        </is>
      </c>
    </row>
    <row r="36" ht="32" customHeight="1" s="49">
      <c r="A36" s="183" t="inlineStr">
        <is>
          <t>28</t>
        </is>
      </c>
      <c r="B36" s="184" t="inlineStr">
        <is>
          <t>Ali 2026</t>
        </is>
      </c>
      <c r="C36" s="183" t="inlineStr">
        <is>
          <t>An ontology-grounded graph feeding an LLM. Three conditions, the same 60 questions.</t>
        </is>
      </c>
      <c r="D36" s="183" t="inlineStr">
        <is>
          <t>Very new. Not skincare.</t>
        </is>
      </c>
      <c r="E36" s="183" t="inlineStr">
        <is>
          <t>It shows the ontology stops the model inventing things. This is my future work chapter.</t>
        </is>
      </c>
      <c r="F36" s="183" t="inlineStr">
        <is>
          <t>A clean experimental design I should copy.</t>
        </is>
      </c>
    </row>
    <row r="38" ht="24" customHeight="1" s="49">
      <c r="A38" s="160" t="inlineStr">
        <is>
          <t>The gap in one sentence</t>
        </is>
      </c>
    </row>
    <row r="39" ht="78" customHeight="1" s="49">
      <c r="A39" s="185" t="inlineStr">
        <is>
          <t>Everyone recommends from ratings, reviews or photos. Nobody recommends from what is in the product, tied to the regulator, with a record of where each fact came from, for products you can really buy.
Abesova's third limitation says this in their own words: "class restrictions based on ingredients could be developed. This would ensure a more symbolic and chemical approach, compared to the statistical one that is currently employed."</t>
        </is>
      </c>
    </row>
  </sheetData>
  <mergeCells count="8">
    <mergeCell ref="A38:F38"/>
    <mergeCell ref="A2:F2"/>
    <mergeCell ref="A13:F13"/>
    <mergeCell ref="A1:F1"/>
    <mergeCell ref="A5:F5"/>
    <mergeCell ref="A22:F22"/>
    <mergeCell ref="A30:F30"/>
    <mergeCell ref="A39:F3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7"/>
  <sheetViews>
    <sheetView showGridLines="0"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style="49" min="1" max="1"/>
    <col width="44" customWidth="1" style="49" min="2" max="2"/>
    <col width="52" customWidth="1" style="49" min="3" max="3"/>
    <col width="28" customWidth="1" style="49" min="4" max="4"/>
    <col width="9" customWidth="1" style="49" min="5" max="5"/>
    <col width="44" customWidth="1" style="49" min="6" max="6"/>
  </cols>
  <sheetData>
    <row r="1" ht="22" customHeight="1" s="49">
      <c r="A1" s="154" t="inlineStr">
        <is>
          <t>Reasoning, and where SHACL fits</t>
        </is>
      </c>
    </row>
    <row r="2" ht="28" customHeight="1" s="49">
      <c r="A2" s="177" t="inlineStr">
        <is>
          <t>Reasoning means the machine works something out that I never typed in. There are five ways to do it and they are not interchangeable. For each one: what it does, an example from my own data, who in my review uses it, and whether it fits me.</t>
        </is>
      </c>
    </row>
    <row r="3" ht="8" customHeight="1" s="49"/>
    <row r="4" ht="28" customHeight="1" s="49">
      <c r="A4" s="178" t="inlineStr">
        <is>
          <t>The technique</t>
        </is>
      </c>
      <c r="B4" s="178" t="inlineStr">
        <is>
          <t>What it does</t>
        </is>
      </c>
      <c r="C4" s="178" t="inlineStr">
        <is>
          <t>Example from my data</t>
        </is>
      </c>
      <c r="D4" s="178" t="inlineStr">
        <is>
          <t>Who in my review uses it</t>
        </is>
      </c>
      <c r="E4" s="178" t="inlineStr">
        <is>
          <t>Fits me</t>
        </is>
      </c>
      <c r="F4" s="178" t="inlineStr">
        <is>
          <t>Why</t>
        </is>
      </c>
    </row>
    <row r="5" ht="24" customHeight="1" s="49">
      <c r="A5" s="160" t="inlineStr">
        <is>
          <t>1. The five ways to reason</t>
        </is>
      </c>
    </row>
    <row r="6" ht="45" customHeight="1" s="49">
      <c r="A6" s="179" t="inlineStr">
        <is>
          <t>RDFS entailment</t>
        </is>
      </c>
      <c r="B6" s="180" t="inlineStr">
        <is>
          <t>The cheapest one. If Cleanser is a subclass of Product, then every cleanser is a product.</t>
        </is>
      </c>
      <c r="C6" s="180" t="inlineStr">
        <is>
          <t>I say CeraVe Cleanser is a skc:Cleanser. The machine works out it is also a Product. I never typed that.</t>
        </is>
      </c>
      <c r="D6" s="180" t="inlineStr">
        <is>
          <t>Abesova gets this free in GraphDB</t>
        </is>
      </c>
      <c r="E6" s="181" t="inlineStr">
        <is>
          <t>yes</t>
        </is>
      </c>
      <c r="F6" s="180" t="inlineStr">
        <is>
          <t>Free and always on. But it only does the hierarchy. Nothing clever.</t>
        </is>
      </c>
    </row>
    <row r="7" ht="45" customHeight="1" s="49">
      <c r="A7" s="179" t="inlineStr">
        <is>
          <t>OWL defined classes</t>
        </is>
      </c>
      <c r="B7" s="180" t="inlineStr">
        <is>
          <t>I write the definition of a class, and the reasoner decides who belongs. I never tag anything by hand.</t>
        </is>
      </c>
      <c r="C7" s="180" t="inlineStr">
        <is>
          <t>SensitiveSafeProduct = a Product with no restricted ingredient and no fragrance allergen. The reasoner finds all the members itself.</t>
        </is>
      </c>
      <c r="D7" s="180" t="inlineStr">
        <is>
          <t>Abesova, OntoCosmetic, COPPER</t>
        </is>
      </c>
      <c r="E7" s="181" t="inlineStr">
        <is>
          <t>yes</t>
        </is>
      </c>
      <c r="F7" s="180" t="inlineStr">
        <is>
          <t>This is my main mechanism. If I add a product tomorrow it lands in the right classes with no extra work. A database cannot do this.</t>
        </is>
      </c>
    </row>
    <row r="8" ht="45" customHeight="1" s="49">
      <c r="A8" s="179" t="inlineStr">
        <is>
          <t>SWRL rules</t>
        </is>
      </c>
      <c r="B8" s="180" t="inlineStr">
        <is>
          <t>If-then rules bolted onto OWL, for things OWL alone cannot say.</t>
        </is>
      </c>
      <c r="C8" s="180" t="inlineStr">
        <is>
          <t>If a product has retinol and an AHA, flag a conflict. OWL alone struggles with rules that need two variables.</t>
        </is>
      </c>
      <c r="D8" s="180" t="inlineStr">
        <is>
          <t>OntoCosmetic, for its thresholds</t>
        </is>
      </c>
      <c r="E8" s="181" t="inlineStr">
        <is>
          <t>maybe</t>
        </is>
      </c>
      <c r="F8" s="180" t="inlineStr">
        <is>
          <t>Powerful, but it slows the reasoner and only Pellet or Openllet runs it properly. Two rules at most.</t>
        </is>
      </c>
    </row>
    <row r="9" ht="45" customHeight="1" s="49">
      <c r="A9" s="179" t="inlineStr">
        <is>
          <t>SPARQL CONSTRUCT</t>
        </is>
      </c>
      <c r="B9" s="180" t="inlineStr">
        <is>
          <t>A query that writes new triples instead of returning a table.</t>
        </is>
      </c>
      <c r="C9" s="180" t="inlineStr">
        <is>
          <t>Construct a triple saying a product suits winter, by combining occlusive with no drying alcohol.</t>
        </is>
      </c>
      <c r="D9" s="180" t="inlineStr">
        <is>
          <t>Abesova, to build the OilyScore triples</t>
        </is>
      </c>
      <c r="E9" s="181" t="inlineStr">
        <is>
          <t>yes</t>
        </is>
      </c>
      <c r="F9" s="180" t="inlineStr">
        <is>
          <t>Simple and fast, and I already know SPARQL. But the rules sit in loose .rq files and nothing checks them.</t>
        </is>
      </c>
    </row>
    <row r="10" ht="45" customHeight="1" s="49">
      <c r="A10" s="179" t="inlineStr">
        <is>
          <t>SHACL rules (SHACL-AF)</t>
        </is>
      </c>
      <c r="B10" s="180" t="inlineStr">
        <is>
          <t>Rules written in the graph, in Turtle, that add new triples. Also the only standard way to validate.</t>
        </is>
      </c>
      <c r="C10" s="180" t="inlineStr">
        <is>
          <t>See section 3 below. This is the one nobody in my review uses.</t>
        </is>
      </c>
      <c r="D10" s="180" t="inlineStr">
        <is>
          <t>Nobody. 0 of 28 papers.</t>
        </is>
      </c>
      <c r="E10" s="181" t="inlineStr">
        <is>
          <t>yes</t>
        </is>
      </c>
      <c r="F10" s="180" t="inlineStr">
        <is>
          <t>Two jobs in one language: catch bad data, and infer new facts. And it is a gap I can claim.</t>
        </is>
      </c>
    </row>
    <row r="11" ht="24" customHeight="1" s="49">
      <c r="A11" s="160" t="inlineStr">
        <is>
          <t>2. Why OWL and SHACL are not the same thing</t>
        </is>
      </c>
    </row>
    <row r="12" ht="45" customHeight="1" s="49">
      <c r="A12" s="179" t="inlineStr">
        <is>
          <t>OWL is open world</t>
        </is>
      </c>
      <c r="B12" s="180" t="inlineStr">
        <is>
          <t>If something is not written down, OWL assumes it might still be true. It never complains about missing data.</t>
        </is>
      </c>
      <c r="C12" s="180" t="inlineStr">
        <is>
          <t>I say a product must have one price. A product has two. OWL does not error. It decides the two prices are the same thing.</t>
        </is>
      </c>
      <c r="D12" s="180" t="inlineStr">
        <is>
          <t>Everyone using OWL</t>
        </is>
      </c>
      <c r="E12" s="181" t="inlineStr">
        <is>
          <t>yes</t>
        </is>
      </c>
      <c r="F12" s="180" t="inlineStr">
        <is>
          <t>Right for inferring. Wrong for checking my data is clean.</t>
        </is>
      </c>
    </row>
    <row r="13" ht="45" customHeight="1" s="49">
      <c r="A13" s="179" t="inlineStr">
        <is>
          <t>SHACL is closed world</t>
        </is>
      </c>
      <c r="B13" s="180" t="inlineStr">
        <is>
          <t>What is not in the graph is treated as false. It reports an error and points at the exact triple.</t>
        </is>
      </c>
      <c r="C13" s="180" t="inlineStr">
        <is>
          <t>Same case. SHACL says 'product X has 2 values for hasPrice, maximum is 1', and names X.</t>
        </is>
      </c>
      <c r="D13" s="180" t="inlineStr">
        <is>
          <t>Nobody in my review</t>
        </is>
      </c>
      <c r="E13" s="181" t="inlineStr">
        <is>
          <t>yes</t>
        </is>
      </c>
      <c r="F13" s="180" t="inlineStr">
        <is>
          <t>This is what I want when validating 12,629 rows. OWL cannot do it.</t>
        </is>
      </c>
    </row>
    <row r="14" ht="45" customHeight="1" s="49">
      <c r="A14" s="179" t="inlineStr">
        <is>
          <t>The mistake to avoid</t>
        </is>
      </c>
      <c r="B14" s="180" t="inlineStr">
        <is>
          <t>People write owl:maxCardinality thinking it is a constraint. It is not. It is an instruction to infer.</t>
        </is>
      </c>
      <c r="C14" s="180" t="inlineStr">
        <is>
          <t>The most common beginner mistake in OWL. Worth one sentence in my chapter.</t>
        </is>
      </c>
      <c r="D14" s="180" t="inlineStr"/>
      <c r="E14" s="181" t="inlineStr"/>
      <c r="F14" s="180" t="inlineStr">
        <is>
          <t>Source: Knublauch, 'SHACL and OWL Compared', spinrdf.org/shacl-and-owl.html</t>
        </is>
      </c>
    </row>
    <row r="15" ht="24" customHeight="1" s="49">
      <c r="A15" s="160" t="inlineStr">
        <is>
          <t>3. What SHACL would do in my thesis</t>
        </is>
      </c>
    </row>
    <row r="16" ht="58" customHeight="1" s="49">
      <c r="A16" s="179" t="inlineStr">
        <is>
          <t>Job 1. Guard the dataset</t>
        </is>
      </c>
      <c r="B16" s="180" t="inlineStr">
        <is>
          <t>Check every product before it enters the graph.</t>
        </is>
      </c>
      <c r="C16" s="180" t="inlineStr">
        <is>
          <t>Every product must have at least one ingredient, one price, a country from a fixed list, and a rating between 0 and 5. Run once, get a report naming every bad row.</t>
        </is>
      </c>
      <c r="D16" s="180" t="inlineStr"/>
      <c r="E16" s="181" t="inlineStr">
        <is>
          <t>yes</t>
        </is>
      </c>
      <c r="F16" s="180" t="inlineStr">
        <is>
          <t>I have 12,629 rows from eight sources. Something is wrong in there. The report goes in the appendix as evidence.</t>
        </is>
      </c>
    </row>
    <row r="17" ht="45" customHeight="1" s="49">
      <c r="A17" s="179" t="inlineStr">
        <is>
          <t>Job 2. Enforce my evidence rule</t>
        </is>
      </c>
      <c r="B17" s="180" t="inlineStr">
        <is>
          <t>The rule I keep saying matters. No claim without a source.</t>
        </is>
      </c>
      <c r="C17" s="180" t="inlineStr">
        <is>
          <t>Every ingredient with a CosIng annex status must carry prov:wasAttributedTo and a date. SHACL refuses it otherwise.</t>
        </is>
      </c>
      <c r="D17" s="180" t="inlineStr"/>
      <c r="E17" s="181" t="inlineStr">
        <is>
          <t>yes</t>
        </is>
      </c>
      <c r="F17" s="180" t="inlineStr">
        <is>
          <t>This turns my provenance design from a promise into something a machine enforces. The strongest single use for me.</t>
        </is>
      </c>
    </row>
    <row r="18" ht="45" customHeight="1" s="49">
      <c r="A18" s="179" t="inlineStr">
        <is>
          <t>Job 3. Infer, with sh:TripleRule</t>
        </is>
      </c>
      <c r="B18" s="180" t="inlineStr">
        <is>
          <t>Add a triple when a condition holds. The same job as a defined class, but easier to read.</t>
        </is>
      </c>
      <c r="C18" s="180" t="inlineStr">
        <is>
          <t>If a product has three or more barrier lipids, add rdf:type BarrierRepairProduct.</t>
        </is>
      </c>
      <c r="D18" s="180" t="inlineStr"/>
      <c r="E18" s="181" t="inlineStr">
        <is>
          <t>yes</t>
        </is>
      </c>
      <c r="F18" s="180" t="inlineStr">
        <is>
          <t>Compare with OWL. OWL can only ever infer types and sameAs. SHACL can infer any triple.</t>
        </is>
      </c>
    </row>
    <row r="19" ht="32" customHeight="1" s="49">
      <c r="A19" s="179" t="inlineStr">
        <is>
          <t>Job 4. Count, with sh:SPARQLRule</t>
        </is>
      </c>
      <c r="B19" s="180" t="inlineStr">
        <is>
          <t>A rule that does arithmetic and writes the answer back.</t>
        </is>
      </c>
      <c r="C19" s="180" t="inlineStr">
        <is>
          <t>Count how many EU-restricted ingredients a product has, and store it as a number I can sort on.</t>
        </is>
      </c>
      <c r="D19" s="180" t="inlineStr"/>
      <c r="E19" s="181" t="inlineStr">
        <is>
          <t>yes</t>
        </is>
      </c>
      <c r="F19" s="180" t="inlineStr">
        <is>
          <t>OWL cannot count. This is the honest limit of OWL and the cleanest reason to add SHACL.</t>
        </is>
      </c>
    </row>
    <row r="20" ht="24" customHeight="1" s="49">
      <c r="A20" s="160" t="inlineStr">
        <is>
          <t>4. How to run it</t>
        </is>
      </c>
    </row>
    <row r="21" ht="45" customHeight="1" s="49">
      <c r="A21" s="179" t="inlineStr">
        <is>
          <t>pySHACL</t>
        </is>
      </c>
      <c r="B21" s="180" t="inlineStr">
        <is>
          <t>Python. pip install pyshacl, then one line.</t>
        </is>
      </c>
      <c r="C21" s="180" t="inlineStr">
        <is>
          <t>pyshacl -s shapes.ttl -f human data.ttl</t>
        </is>
      </c>
      <c r="D21" s="180" t="inlineStr"/>
      <c r="E21" s="181" t="inlineStr">
        <is>
          <t>yes</t>
        </is>
      </c>
      <c r="F21" s="180" t="inlineStr">
        <is>
          <t>My pipeline is Python and it pairs with RDFLib. The slowest of the three, but my graph is 1.8 million triples, which is small.</t>
        </is>
      </c>
    </row>
    <row r="22" ht="32" customHeight="1" s="49">
      <c r="A22" s="179" t="inlineStr">
        <is>
          <t>Apache Jena SHACL</t>
        </is>
      </c>
      <c r="B22" s="180" t="inlineStr">
        <is>
          <t>Java. The fastest of the three in published benchmarks.</t>
        </is>
      </c>
      <c r="C22" s="180" t="inlineStr">
        <is>
          <t>Command line or library. It also reads SHACL-C, a compact syntax that is easier to read than Turtle.</t>
        </is>
      </c>
      <c r="D22" s="180" t="inlineStr"/>
      <c r="E22" s="181" t="inlineStr">
        <is>
          <t>maybe</t>
        </is>
      </c>
      <c r="F22" s="180" t="inlineStr">
        <is>
          <t>Benchmarked around four times faster than pySHACL. Only worth it if pySHACL gets slow.</t>
        </is>
      </c>
    </row>
    <row r="23" ht="32" customHeight="1" s="49">
      <c r="A23" s="179" t="inlineStr">
        <is>
          <t>TopBraid SHACL API</t>
        </is>
      </c>
      <c r="B23" s="180" t="inlineStr">
        <is>
          <t>Java, from the people who wrote the spec. The reference implementation.</t>
        </is>
      </c>
      <c r="C23" s="180" t="inlineStr">
        <is>
          <t>It defines correct behaviour when the other engines disagree.</t>
        </is>
      </c>
      <c r="D23" s="180" t="inlineStr"/>
      <c r="E23" s="181" t="inlineStr">
        <is>
          <t>maybe</t>
        </is>
      </c>
      <c r="F23" s="180" t="inlineStr">
        <is>
          <t>Useful to check against if a result looks wrong.</t>
        </is>
      </c>
    </row>
    <row r="24" ht="32" customHeight="1" s="49">
      <c r="A24" s="179" t="inlineStr">
        <is>
          <t>GraphDB</t>
        </is>
      </c>
      <c r="B24" s="180" t="inlineStr">
        <is>
          <t>My triple store has SHACL validation built in.</t>
        </is>
      </c>
      <c r="C24" s="180" t="inlineStr">
        <is>
          <t>Turn it on when creating the repository, and bad data is rejected at load time.</t>
        </is>
      </c>
      <c r="D24" s="180" t="inlineStr"/>
      <c r="E24" s="181" t="inlineStr">
        <is>
          <t>yes</t>
        </is>
      </c>
      <c r="F24" s="180" t="inlineStr">
        <is>
          <t>No extra tooling. This is where I would start.</t>
        </is>
      </c>
    </row>
    <row r="26" ht="24" customHeight="1" s="49">
      <c r="A26" s="160" t="inlineStr">
        <is>
          <t>The code. Put these four in a file called shapes.ttl</t>
        </is>
      </c>
    </row>
    <row r="28" ht="18" customHeight="1" s="49">
      <c r="A28" s="186" t="inlineStr">
        <is>
          <t>Job 1. Catch bad data. Plain SHACL Core, no extras.</t>
        </is>
      </c>
    </row>
    <row r="29" ht="13" customHeight="1" s="49">
      <c r="A29" s="187" t="inlineStr">
        <is>
          <t>sk:ProductShape
    a sh:NodeShape ;
    sh:targetClass sk:Product ;
    sh:property [                      # must have at least one ingredient
        sh:path sk:hasIngredient ;
        sh:minCount 1 ;
        sh:message "Product has no ingredients at all" ] ;
    sh:property [                      # one price, and not negative
        sh:path sk:priceUSD ;
        sh:maxCount 1 ;
        sh:datatype xsd:decimal ;
        sh:minInclusive 0 ;
        sh:message "Price missing, doubled, or negative" ] ;
    sh:property [                      # rating must be 0 to 5
        sh:path sk:rating ;
        sh:minInclusive 0 ;
        sh:maxInclusive 5 ] .</t>
        </is>
      </c>
    </row>
    <row r="30" ht="13" customHeight="1" s="49"/>
    <row r="31" ht="13" customHeight="1" s="49"/>
    <row r="32" ht="13" customHeight="1" s="49"/>
    <row r="33" ht="13" customHeight="1" s="49"/>
    <row r="34" ht="13" customHeight="1" s="49"/>
    <row r="35" ht="13" customHeight="1" s="49"/>
    <row r="36" ht="13" customHeight="1" s="49"/>
    <row r="37" ht="13" customHeight="1" s="49"/>
    <row r="38" ht="13" customHeight="1" s="49"/>
    <row r="39" ht="13" customHeight="1" s="49"/>
    <row r="40" ht="13" customHeight="1" s="49"/>
    <row r="41" ht="13" customHeight="1" s="49"/>
    <row r="42" ht="13" customHeight="1" s="49"/>
    <row r="43" ht="13" customHeight="1" s="49"/>
    <row r="44" ht="13" customHeight="1" s="49"/>
    <row r="45" ht="13" customHeight="1" s="49"/>
    <row r="46" ht="13" customHeight="1" s="49"/>
    <row r="47" ht="13" customHeight="1" s="49"/>
    <row r="48" ht="13" customHeight="1" s="49"/>
    <row r="50" ht="18" customHeight="1" s="49">
      <c r="A50" s="186" t="inlineStr">
        <is>
          <t>Job 2. No claim without a source. My provenance rule, enforced.</t>
        </is>
      </c>
    </row>
    <row r="51" ht="13" customHeight="1" s="49">
      <c r="A51" s="187" t="inlineStr">
        <is>
          <t>sk:AnnexClaimShape
    a sh:NodeShape ;
    sh:targetClass sk:AnnexStatusClaim ;
    sh:property [
        sh:path prov:wasAttributedTo ;
        sh:minCount 1 ;
        sh:class sk:Authority ;
        sh:message "A regulatory claim with no authority behind it" ] ;
    sh:property [
        sh:path prov:generatedAtTime ;
        sh:minCount 1 ;
        sh:datatype xsd:date ;
        sh:message "A claim with no date cannot be checked" ] .</t>
        </is>
      </c>
    </row>
    <row r="52" ht="13" customHeight="1" s="49"/>
    <row r="53" ht="13" customHeight="1" s="49"/>
    <row r="54" ht="13" customHeight="1" s="49"/>
    <row r="55" ht="13" customHeight="1" s="49"/>
    <row r="56" ht="13" customHeight="1" s="49"/>
    <row r="57" ht="13" customHeight="1" s="49"/>
    <row r="58" ht="13" customHeight="1" s="49"/>
    <row r="59" ht="13" customHeight="1" s="49"/>
    <row r="60" ht="13" customHeight="1" s="49"/>
    <row r="61" ht="13" customHeight="1" s="49"/>
    <row r="62" ht="13" customHeight="1" s="49"/>
    <row r="63" ht="13" customHeight="1" s="49"/>
    <row r="64" ht="13" customHeight="1" s="49"/>
    <row r="65" ht="13" customHeight="1" s="49"/>
    <row r="67" ht="18" customHeight="1" s="49">
      <c r="A67" s="186" t="inlineStr">
        <is>
          <t>Job 3. Infer a new type. sh:TripleRule, from SHACL Advanced Features.</t>
        </is>
      </c>
    </row>
    <row r="68" ht="13" customHeight="1" s="49">
      <c r="A68" s="187" t="inlineStr">
        <is>
          <t>sk:BarrierRepairRule
    a sh:NodeShape ;
    sh:targetClass sk:Product ;
    sh:rule [
        a sh:TripleRule ;
        sh:condition [                       # the if part
            sh:path sk:hasBarrierLipid ;
            sh:minCount 3 ] ;
        sh:subject   sh:this ;               # the then part
        sh:predicate rdf:type ;
        sh:object    sk:BarrierRepairProduct ] .</t>
        </is>
      </c>
    </row>
    <row r="69" ht="13" customHeight="1" s="49"/>
    <row r="70" ht="13" customHeight="1" s="49"/>
    <row r="71" ht="13" customHeight="1" s="49"/>
    <row r="72" ht="13" customHeight="1" s="49"/>
    <row r="73" ht="13" customHeight="1" s="49"/>
    <row r="74" ht="13" customHeight="1" s="49"/>
    <row r="75" ht="13" customHeight="1" s="49"/>
    <row r="76" ht="13" customHeight="1" s="49"/>
    <row r="77" ht="13" customHeight="1" s="49"/>
    <row r="78" ht="13" customHeight="1" s="49"/>
    <row r="80" ht="18" customHeight="1" s="49">
      <c r="A80" s="186" t="inlineStr">
        <is>
          <t>Job 4. Count something. OWL cannot do this. sh:SPARQLRule.</t>
        </is>
      </c>
    </row>
    <row r="81" ht="13" customHeight="1" s="49">
      <c r="A81" s="187" t="inlineStr">
        <is>
          <t>sk:RestrictedCountRule
    a sh:NodeShape ;
    sh:targetClass sk:Product ;
    sh:rule [
        a sh:SPARQLRule ;
        sh:construct """
            CONSTRUCT { $this sk:restrictedCount ?n }
            WHERE {
              { SELECT $this (COUNT(?i) AS ?n) WHERE {
                  $this sk:hasIngredient ?i .
                  ?i    sk:annexStatus  ?s .
                } GROUP BY $this }
            }""" ;
        sh:prefixes sk: ] .</t>
        </is>
      </c>
    </row>
    <row r="82" ht="13" customHeight="1" s="49"/>
    <row r="83" ht="13" customHeight="1" s="49"/>
    <row r="84" ht="13" customHeight="1" s="49"/>
    <row r="85" ht="13" customHeight="1" s="49"/>
    <row r="86" ht="13" customHeight="1" s="49"/>
    <row r="87" ht="13" customHeight="1" s="49"/>
    <row r="88" ht="13" customHeight="1" s="49"/>
    <row r="89" ht="13" customHeight="1" s="49"/>
    <row r="90" ht="13" customHeight="1" s="49"/>
    <row r="91" ht="13" customHeight="1" s="49"/>
    <row r="92" ht="13" customHeight="1" s="49"/>
    <row r="93" ht="13" customHeight="1" s="49"/>
    <row r="94" ht="13" customHeight="1" s="49"/>
    <row r="96" ht="24" customHeight="1" s="49">
      <c r="A96" s="160" t="inlineStr">
        <is>
          <t>The sentence for my chapter</t>
        </is>
      </c>
    </row>
    <row r="97" ht="62" customHeight="1" s="49">
      <c r="A97" s="185" t="inlineStr">
        <is>
          <t>"None of the 28 reviewed systems reports any use of SHACL. Validation of the underlying data, and the enforcement of provenance constraints, are therefore unaddressed in the existing skincare ontology literature."
That is a small, true, defensible gap claim, and it costs one afternoon of work to earn it.</t>
        </is>
      </c>
    </row>
  </sheetData>
  <mergeCells count="17">
    <mergeCell ref="A2:F2"/>
    <mergeCell ref="A11:F11"/>
    <mergeCell ref="A29:F48"/>
    <mergeCell ref="A28:F28"/>
    <mergeCell ref="A68:F78"/>
    <mergeCell ref="A81:F94"/>
    <mergeCell ref="A1:F1"/>
    <mergeCell ref="A5:F5"/>
    <mergeCell ref="A80:F80"/>
    <mergeCell ref="A67:F67"/>
    <mergeCell ref="A26:F26"/>
    <mergeCell ref="A97:F97"/>
    <mergeCell ref="A50:F50"/>
    <mergeCell ref="A20:F20"/>
    <mergeCell ref="A96:F96"/>
    <mergeCell ref="A51:F65"/>
    <mergeCell ref="A15:F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1"/>
  <sheetViews>
    <sheetView showGridLines="0" zoomScale="90" workbookViewId="0">
      <selection activeCell="A1" sqref="A1"/>
    </sheetView>
  </sheetViews>
  <sheetFormatPr baseColWidth="8" defaultRowHeight="15"/>
  <cols>
    <col width="4" customWidth="1" style="49" min="1" max="1"/>
    <col width="26" customWidth="1" style="49" min="2" max="2"/>
    <col width="46" customWidth="1" style="49" min="3" max="3"/>
    <col width="26" customWidth="1" style="49" min="4" max="4"/>
    <col width="54" customWidth="1" style="49" min="5" max="5"/>
  </cols>
  <sheetData>
    <row r="1" ht="22" customHeight="1" s="49">
      <c r="A1" s="154" t="inlineStr">
        <is>
          <t>Abesova 2023, the paper my supervisor sent</t>
        </is>
      </c>
    </row>
    <row r="2" ht="28" customHeight="1" s="49">
      <c r="A2" s="177" t="inlineStr">
        <is>
          <t>A student course project, so it is not peer reviewed and I have to say so. But the main idea in it is the one my thesis uses, and its third limitation is my contribution.</t>
        </is>
      </c>
    </row>
    <row r="3" ht="8" customHeight="1" s="49"/>
    <row r="4" ht="24" customHeight="1" s="49">
      <c r="A4" s="160" t="inlineStr">
        <is>
          <t>1. What it is</t>
        </is>
      </c>
    </row>
    <row r="5" ht="19" customHeight="1" s="49">
      <c r="B5" s="184" t="inlineStr">
        <is>
          <t>Full title</t>
        </is>
      </c>
      <c r="C5" s="183" t="inlineStr">
        <is>
          <t>Skincare Ontology, Final Project</t>
        </is>
      </c>
    </row>
    <row r="6" ht="19" customHeight="1" s="49">
      <c r="B6" s="184" t="inlineStr">
        <is>
          <t>Who</t>
        </is>
      </c>
      <c r="C6" s="183" t="inlineStr">
        <is>
          <t>Sara Abesova, Karolina Hajkova, Yozlem Ramadan, Malgorzata Zdych</t>
        </is>
      </c>
    </row>
    <row r="7" ht="19" customHeight="1" s="49">
      <c r="B7" s="184" t="inlineStr">
        <is>
          <t>Where</t>
        </is>
      </c>
      <c r="C7" s="183" t="inlineStr">
        <is>
          <t>Vrije Universiteit Amsterdam, course 'Knowledge and Data', Group 31</t>
        </is>
      </c>
    </row>
    <row r="8" ht="19" customHeight="1" s="49">
      <c r="B8" s="184" t="inlineStr">
        <is>
          <t>What kind of thing</t>
        </is>
      </c>
      <c r="C8" s="183" t="inlineStr">
        <is>
          <t>A student course project. Not peer reviewed, not in a journal. I have to say this or a supervisor will catch it.</t>
        </is>
      </c>
    </row>
    <row r="9" ht="32" customHeight="1" s="49">
      <c r="B9" s="184" t="inlineStr">
        <is>
          <t>Why I still care</t>
        </is>
      </c>
      <c r="C9" s="183" t="inlineStr">
        <is>
          <t>The main idea in it is the mechanism my thesis is built on, and their third limitation is my contribution written in their own words.</t>
        </is>
      </c>
    </row>
    <row r="10" ht="19" customHeight="1" s="49">
      <c r="B10" s="184" t="inlineStr">
        <is>
          <t>Size</t>
        </is>
      </c>
      <c r="C10" s="183" t="inlineStr">
        <is>
          <t>36 classes, 6 object properties, 6 data properties</t>
        </is>
      </c>
    </row>
    <row r="11" ht="19" customHeight="1" s="49">
      <c r="B11" s="184" t="inlineStr">
        <is>
          <t>Method</t>
        </is>
      </c>
      <c r="C11" s="183" t="inlineStr">
        <is>
          <t>Middle-out. Start from a base ontology and let the data pull it wider.</t>
        </is>
      </c>
    </row>
    <row r="12" ht="19" customHeight="1" s="49">
      <c r="B12" s="184" t="inlineStr">
        <is>
          <t>Tools</t>
        </is>
      </c>
      <c r="C12" s="183" t="inlineStr">
        <is>
          <t>OntoRefine, GraphDB, SPARQL, DBpedia, Jupyter, pandas, folium. No Protege.</t>
        </is>
      </c>
    </row>
    <row r="13" ht="32" customHeight="1" s="49">
      <c r="B13" s="184" t="inlineStr">
        <is>
          <t>Data</t>
        </is>
      </c>
      <c r="C13" s="183" t="inlineStr">
        <is>
          <t>1. A Sephora review CSV found on GitHub (agorina91/final_project). 2. A hand-made CSV of countries with Sephora links. 3. DBpedia, live, for capital city coordinates.</t>
        </is>
      </c>
    </row>
    <row r="14" ht="32" customHeight="1" s="49">
      <c r="B14" s="184" t="inlineStr">
        <is>
          <t>Output</t>
        </is>
      </c>
      <c r="C14" s="183" t="inlineStr">
        <is>
          <t>9 products (3 cleansers, 3 moisturisers, 3 treatments), plus the local Sephora link, plus whether there is a physical shop</t>
        </is>
      </c>
    </row>
    <row r="16" ht="24" customHeight="1" s="49">
      <c r="A16" s="160" t="inlineStr">
        <is>
          <t>2. What they did, step by step</t>
        </is>
      </c>
    </row>
    <row r="17" ht="28" customHeight="1" s="49">
      <c r="A17" s="178" t="inlineStr"/>
      <c r="B17" s="178" t="inlineStr">
        <is>
          <t>Step</t>
        </is>
      </c>
      <c r="C17" s="178" t="inlineStr">
        <is>
          <t>What they did</t>
        </is>
      </c>
      <c r="D17" s="178" t="inlineStr">
        <is>
          <t>Tool</t>
        </is>
      </c>
      <c r="E17" s="178" t="inlineStr">
        <is>
          <t>My note</t>
        </is>
      </c>
    </row>
    <row r="18" ht="32" customHeight="1" s="49">
      <c r="A18" s="183" t="inlineStr">
        <is>
          <t>1</t>
        </is>
      </c>
      <c r="B18" s="184" t="inlineStr">
        <is>
          <t>Start from a base ontology</t>
        </is>
      </c>
      <c r="C18" s="183" t="inlineStr">
        <is>
          <t>One teammate had already built a small skincare ontology earlier in the course.</t>
        </is>
      </c>
      <c r="D18" s="183" t="inlineStr">
        <is>
          <t>-</t>
        </is>
      </c>
      <c r="E18" s="183" t="inlineStr">
        <is>
          <t>This is why it is middle-out and not top-down. They did not start from nothing.</t>
        </is>
      </c>
    </row>
    <row r="19" ht="32" customHeight="1" s="49">
      <c r="A19" s="183" t="inlineStr">
        <is>
          <t>2</t>
        </is>
      </c>
      <c r="B19" s="184" t="inlineStr">
        <is>
          <t>Find outside data</t>
        </is>
      </c>
      <c r="C19" s="183" t="inlineStr">
        <is>
          <t>They searched the web and found a CSV of Sephora product reviews on GitHub.</t>
        </is>
      </c>
      <c r="D19" s="183" t="inlineStr">
        <is>
          <t>GitHub</t>
        </is>
      </c>
      <c r="E19" s="183" t="inlineStr">
        <is>
          <t>They say this was the hardest part of the project. Finding data usually is.</t>
        </is>
      </c>
    </row>
    <row r="20" ht="45" customHeight="1" s="49">
      <c r="A20" s="183" t="inlineStr">
        <is>
          <t>3</t>
        </is>
      </c>
      <c r="B20" s="184" t="inlineStr">
        <is>
          <t>Clean it</t>
        </is>
      </c>
      <c r="C20" s="183" t="inlineStr">
        <is>
          <t>Deleted columns that did not matter, such as Eye Color and Hair Color. Checked nothing important was removed by accident.</t>
        </is>
      </c>
      <c r="D20" s="183" t="inlineStr">
        <is>
          <t>by hand</t>
        </is>
      </c>
      <c r="E20" s="183" t="inlineStr">
        <is>
          <t>The same thing I did. Boring and necessary.</t>
        </is>
      </c>
    </row>
    <row r="21" ht="45" customHeight="1" s="49">
      <c r="A21" s="183" t="inlineStr">
        <is>
          <t>4</t>
        </is>
      </c>
      <c r="B21" s="184" t="inlineStr">
        <is>
          <t>Turn the CSV into RDF</t>
        </is>
      </c>
      <c r="C21" s="183" t="inlineStr">
        <is>
          <t>Loaded the CSV into OntoRefine and drew the mapping: which column becomes a subject, which becomes a predicate.</t>
        </is>
      </c>
      <c r="D21" s="183" t="inlineStr">
        <is>
          <t>OntoRefine, inside GraphDB</t>
        </is>
      </c>
      <c r="E21" s="183" t="inlineStr">
        <is>
          <t>This is the step Morph-KGC does for me. Theirs is point-and-click, mine is a file I can put in the appendix.</t>
        </is>
      </c>
    </row>
    <row r="22" ht="45" customHeight="1" s="49">
      <c r="A22" s="183" t="inlineStr">
        <is>
          <t>5</t>
        </is>
      </c>
      <c r="B22" s="184" t="inlineStr">
        <is>
          <t>Build the graphs and export</t>
        </is>
      </c>
      <c r="C22" s="183" t="inlineStr">
        <is>
          <t>SPARQL CONSTRUCT, one graph at a time, downloaded as nine separate Turtle files, then all imported into one default graph.</t>
        </is>
      </c>
      <c r="D22" s="183" t="inlineStr">
        <is>
          <t>SPARQL CONSTRUCT</t>
        </is>
      </c>
      <c r="E22" s="183" t="inlineStr">
        <is>
          <t>Nine files by hand is fragile. To rerun it they have to redo all nine.</t>
        </is>
      </c>
    </row>
    <row r="23" ht="58" customHeight="1" s="49">
      <c r="A23" s="183" t="inlineStr">
        <is>
          <t>6</t>
        </is>
      </c>
      <c r="B23" s="184" t="inlineStr">
        <is>
          <t>Glue the two vocabularies together</t>
        </is>
      </c>
      <c r="C23" s="183" t="inlineStr">
        <is>
          <t>The CSV had its own class names and the base ontology had different ones, so they declared rdf:Cleanser owl:equivalentClass skc:Cleanser.</t>
        </is>
      </c>
      <c r="D23" s="183" t="inlineStr">
        <is>
          <t>GraphDB class restrictions</t>
        </is>
      </c>
      <c r="E23" s="183" t="inlineStr">
        <is>
          <t>This is real ontology work, and it is the honest answer to 'how do you merge two sources'.</t>
        </is>
      </c>
    </row>
    <row r="24" ht="58" customHeight="1" s="49">
      <c r="A24" s="183" t="inlineStr">
        <is>
          <t>7</t>
        </is>
      </c>
      <c r="B24" s="184" t="inlineStr">
        <is>
          <t>Add the main idea</t>
        </is>
      </c>
      <c r="C24" s="183" t="inlineStr">
        <is>
          <t>Compute an average rating per skin type, store it as hasOilyScore, then define the class OilySkinProducts as 'hasOilyScore value 5'. The reasoner fills the class.</t>
        </is>
      </c>
      <c r="D24" s="183" t="inlineStr">
        <is>
          <t>OWL hasValue, GraphDB reasoner</t>
        </is>
      </c>
      <c r="E24" s="183" t="inlineStr">
        <is>
          <t>This is the part I use. See section 4.</t>
        </is>
      </c>
    </row>
    <row r="25" ht="45" customHeight="1" s="49">
      <c r="A25" s="183" t="inlineStr">
        <is>
          <t>8</t>
        </is>
      </c>
      <c r="B25" s="184" t="inlineStr">
        <is>
          <t>Reach out to DBpedia</t>
        </is>
      </c>
      <c r="C25" s="183" t="inlineStr">
        <is>
          <t>SPARQL against the live DBpedia endpoint. Country to capital city to geo:lat and geo:long, then draw a map.</t>
        </is>
      </c>
      <c r="D25" s="183" t="inlineStr">
        <is>
          <t>DBpedia, geo: and dbo:</t>
        </is>
      </c>
      <c r="E25" s="183" t="inlineStr">
        <is>
          <t>They typed no coordinates at all. This is what reuse looks like in practice.</t>
        </is>
      </c>
    </row>
    <row r="26" ht="58" customHeight="1" s="49">
      <c r="A26" s="183" t="inlineStr">
        <is>
          <t>9</t>
        </is>
      </c>
      <c r="B26" s="184" t="inlineStr">
        <is>
          <t>Recommend</t>
        </is>
      </c>
      <c r="C26" s="183" t="inlineStr">
        <is>
          <t>Query reviews from people with the same skin type and skin tone, rank by rating, take the top 3 per category. If there is not enough data, fall back to the defined class.</t>
        </is>
      </c>
      <c r="D26" s="183" t="inlineStr">
        <is>
          <t>SPARQL, Jupyter</t>
        </is>
      </c>
      <c r="E26" s="183" t="inlineStr">
        <is>
          <t>The fallback is smart. Their thin-data problem is my cold-start problem.</t>
        </is>
      </c>
    </row>
    <row r="27" ht="45" customHeight="1" s="49">
      <c r="A27" s="183" t="inlineStr">
        <is>
          <t>10</t>
        </is>
      </c>
      <c r="B27" s="184" t="inlineStr">
        <is>
          <t>Show it</t>
        </is>
      </c>
      <c r="C27" s="183" t="inlineStr">
        <is>
          <t>Two pie charts, counts per skin type and per skin tone, and a world map of Sephora countries.</t>
        </is>
      </c>
      <c r="D27" s="183" t="inlineStr">
        <is>
          <t>pandas, folium</t>
        </is>
      </c>
      <c r="E27" s="183" t="inlineStr">
        <is>
          <t>The pie charts exist so the user can judge how much data the answer rests on. I like that.</t>
        </is>
      </c>
    </row>
    <row r="29" ht="24" customHeight="1" s="49">
      <c r="A29" s="160" t="inlineStr">
        <is>
          <t>3. The pipeline, in words</t>
        </is>
      </c>
    </row>
    <row r="30" ht="15" customHeight="1" s="49">
      <c r="B30" s="188" t="inlineStr">
        <is>
          <t>Sephora review CSV  -&gt;  OntoRefine  -&gt;  9 Turtle files  -&gt;  GraphDB  -&gt;  reasoner  -&gt;  SPARQL  -&gt;  9 products</t>
        </is>
      </c>
    </row>
    <row r="31" ht="15" customHeight="1" s="49">
      <c r="B31" s="188" t="inlineStr"/>
    </row>
    <row r="32" ht="15" customHeight="1" s="49">
      <c r="B32" s="188" t="inlineStr">
        <is>
          <t>side input 1   a CSV they typed themselves: country -&gt; Sephora link</t>
        </is>
      </c>
    </row>
    <row r="33" ht="15" customHeight="1" s="49">
      <c r="B33" s="188" t="inlineStr">
        <is>
          <t>side input 2   DBpedia, live: country -&gt; capital city -&gt; geo:lat and geo:long, for the map</t>
        </is>
      </c>
    </row>
    <row r="35" ht="24" customHeight="1" s="49">
      <c r="A35" s="160" t="inlineStr">
        <is>
          <t>4. The main idea, and it is the one I use</t>
        </is>
      </c>
    </row>
    <row r="36" ht="14" customHeight="1" s="49">
      <c r="B36" s="189" t="inlineStr">
        <is>
          <t>They never tag a product as good for oily skin. Not once. Instead:
   Step 1   Query all reviews written by people with oily skin, average the stars,
            and store the result on the product:      Product  hasOilyScore  5.0
   Step 2   Define the class, once:
            OilySkinProducts  owl:equivalentClass  ( hasOilyScore value 5 )
   Step 3   Press the reasoner. It finds every product with a 5 and puts it in the
            class by itself. Nobody typed a single membership.
Why this matters to me
If a new product arrives tomorrow with hasOilyScore 5.0, it lands in the class with
no extra work. No script to rerun, no list to update. A normal database cannot do this.
It is the best argument for using an ontology at all, and it is the method my four
defined classes use.
What I change
Their score comes from star ratings. Mine comes from ingredients. Same machinery,
different evidence. Theirs says people liked it. Mine says it contains ceramides,
no fragrance allergen, and nothing on Annex II.</t>
        </is>
      </c>
    </row>
    <row r="37" ht="14" customHeight="1" s="49"/>
    <row r="38" ht="14" customHeight="1" s="49"/>
    <row r="39" ht="14" customHeight="1" s="49"/>
    <row r="40" ht="14" customHeight="1" s="49"/>
    <row r="41" ht="14" customHeight="1" s="49"/>
    <row r="42" ht="14" customHeight="1" s="49"/>
    <row r="43" ht="14" customHeight="1" s="49"/>
    <row r="44" ht="14" customHeight="1" s="49"/>
    <row r="45" ht="14" customHeight="1" s="49"/>
    <row r="46" ht="14" customHeight="1" s="49"/>
    <row r="47" ht="14" customHeight="1" s="49"/>
    <row r="48" ht="14" customHeight="1" s="49"/>
    <row r="49" ht="14" customHeight="1" s="49"/>
    <row r="50" ht="14" customHeight="1" s="49"/>
    <row r="51" ht="14" customHeight="1" s="49"/>
    <row r="52" ht="14" customHeight="1" s="49"/>
    <row r="53" ht="14" customHeight="1" s="49"/>
    <row r="54" ht="14" customHeight="1" s="49"/>
    <row r="55" ht="14" customHeight="1" s="49"/>
    <row r="56" ht="14" customHeight="1" s="49"/>
    <row r="57" ht="14" customHeight="1" s="49"/>
    <row r="58" ht="14" customHeight="1" s="49"/>
    <row r="60" ht="24" customHeight="1" s="49">
      <c r="A60" s="160" t="inlineStr">
        <is>
          <t>5. Their classes and properties</t>
        </is>
      </c>
    </row>
    <row r="61" ht="28" customHeight="1" s="49">
      <c r="A61" s="178" t="inlineStr"/>
      <c r="B61" s="178" t="inlineStr">
        <is>
          <t>Class</t>
        </is>
      </c>
      <c r="C61" s="178" t="inlineStr">
        <is>
          <t>Kind</t>
        </is>
      </c>
      <c r="D61" s="178" t="inlineStr"/>
      <c r="E61" s="178" t="inlineStr">
        <is>
          <t>Note</t>
        </is>
      </c>
    </row>
    <row r="62" ht="15" customHeight="1" s="49">
      <c r="B62" s="190" t="inlineStr">
        <is>
          <t>Country</t>
        </is>
      </c>
      <c r="C62" s="191" t="inlineStr">
        <is>
          <t>class</t>
        </is>
      </c>
      <c r="D62" s="183" t="inlineStr">
        <is>
          <t>Where the user lives</t>
        </is>
      </c>
    </row>
    <row r="63" ht="15" customHeight="1" s="49">
      <c r="B63" s="190" t="inlineStr">
        <is>
          <t>Brand</t>
        </is>
      </c>
      <c r="C63" s="191" t="inlineStr">
        <is>
          <t>class</t>
        </is>
      </c>
      <c r="D63" s="183" t="inlineStr"/>
    </row>
    <row r="64" ht="15" customHeight="1" s="49">
      <c r="B64" s="190" t="inlineStr">
        <is>
          <t>Category</t>
        </is>
      </c>
      <c r="C64" s="191" t="inlineStr">
        <is>
          <t>class</t>
        </is>
      </c>
      <c r="D64" s="183" t="inlineStr">
        <is>
          <t>Cleanser, Moisturizer, Treatment</t>
        </is>
      </c>
    </row>
    <row r="65" ht="15" customHeight="1" s="49">
      <c r="B65" s="190" t="inlineStr">
        <is>
          <t xml:space="preserve">  Treatment</t>
        </is>
      </c>
      <c r="C65" s="191" t="inlineStr">
        <is>
          <t>subclass</t>
        </is>
      </c>
      <c r="D65" s="183" t="inlineStr">
        <is>
          <t>and under it: Exfoliant (Chemical, Physical), Serum, Toner</t>
        </is>
      </c>
    </row>
    <row r="66" ht="15" customHeight="1" s="49">
      <c r="B66" s="190" t="inlineStr">
        <is>
          <t>Product</t>
        </is>
      </c>
      <c r="C66" s="191" t="inlineStr">
        <is>
          <t>class</t>
        </is>
      </c>
      <c r="D66" s="183" t="inlineStr"/>
    </row>
    <row r="67" ht="15" customHeight="1" s="49">
      <c r="B67" s="192" t="inlineStr">
        <is>
          <t xml:space="preserve">  Oily Skin Products</t>
        </is>
      </c>
      <c r="C67" s="193" t="inlineStr">
        <is>
          <t>defined</t>
        </is>
      </c>
      <c r="D67" s="183">
        <f> hasOilyScore value 5      the reasoner fills this</f>
        <v/>
      </c>
    </row>
    <row r="68" ht="15" customHeight="1" s="49">
      <c r="B68" s="192" t="inlineStr">
        <is>
          <t xml:space="preserve">  Dry Skin Products</t>
        </is>
      </c>
      <c r="C68" s="193" t="inlineStr">
        <is>
          <t>defined</t>
        </is>
      </c>
      <c r="D68" s="183">
        <f> hasDryScore value 5</f>
        <v/>
      </c>
    </row>
    <row r="69" ht="15" customHeight="1" s="49">
      <c r="B69" s="192" t="inlineStr">
        <is>
          <t xml:space="preserve">  Normal Skin Products</t>
        </is>
      </c>
      <c r="C69" s="193" t="inlineStr">
        <is>
          <t>defined</t>
        </is>
      </c>
      <c r="D69" s="183">
        <f> hasNormalScore value 5</f>
        <v/>
      </c>
    </row>
    <row r="70" ht="15" customHeight="1" s="49">
      <c r="B70" s="192" t="inlineStr">
        <is>
          <t xml:space="preserve">  Combination Skin Products</t>
        </is>
      </c>
      <c r="C70" s="193" t="inlineStr">
        <is>
          <t>defined</t>
        </is>
      </c>
      <c r="D70" s="183">
        <f> hasCombinationScore value 5</f>
        <v/>
      </c>
    </row>
    <row r="71" ht="15" customHeight="1" s="49">
      <c r="B71" s="190" t="inlineStr">
        <is>
          <t>Review Id</t>
        </is>
      </c>
      <c r="C71" s="191" t="inlineStr">
        <is>
          <t>class</t>
        </is>
      </c>
      <c r="D71" s="183" t="inlineStr">
        <is>
          <t>One review by one person</t>
        </is>
      </c>
    </row>
    <row r="72" ht="15" customHeight="1" s="49">
      <c r="B72" s="190" t="inlineStr">
        <is>
          <t>Rating Stars</t>
        </is>
      </c>
      <c r="C72" s="191" t="inlineStr">
        <is>
          <t>class</t>
        </is>
      </c>
      <c r="D72" s="183" t="inlineStr"/>
    </row>
    <row r="73" ht="15" customHeight="1" s="49">
      <c r="B73" s="190" t="inlineStr">
        <is>
          <t>Skin Tone</t>
        </is>
      </c>
      <c r="C73" s="191" t="inlineStr">
        <is>
          <t>class</t>
        </is>
      </c>
      <c r="D73" s="183" t="inlineStr">
        <is>
          <t>9 values: Porcelain, Fair, Light, Medium, Olive, Tan, Deep, Dark, Ebony</t>
        </is>
      </c>
    </row>
    <row r="74" ht="15" customHeight="1" s="49">
      <c r="B74" s="190" t="inlineStr">
        <is>
          <t>Skin Type</t>
        </is>
      </c>
      <c r="C74" s="191" t="inlineStr">
        <is>
          <t>class</t>
        </is>
      </c>
      <c r="D74" s="183" t="inlineStr">
        <is>
          <t>4 values: Oily, Dry, Normal, Combination</t>
        </is>
      </c>
    </row>
    <row r="76" ht="15" customHeight="1" s="49">
      <c r="B76" s="194" t="inlineStr">
        <is>
          <t>object</t>
        </is>
      </c>
      <c r="C76" s="190" t="inlineStr">
        <is>
          <t>Product hasBrand Brand</t>
        </is>
      </c>
      <c r="D76" s="195" t="inlineStr"/>
    </row>
    <row r="77" ht="15" customHeight="1" s="49">
      <c r="B77" s="194" t="inlineStr">
        <is>
          <t>object</t>
        </is>
      </c>
      <c r="C77" s="190" t="inlineStr">
        <is>
          <t>Review Id hasSkinType Skin Type</t>
        </is>
      </c>
      <c r="D77" s="195" t="inlineStr"/>
    </row>
    <row r="78" ht="15" customHeight="1" s="49">
      <c r="B78" s="194" t="inlineStr">
        <is>
          <t>object</t>
        </is>
      </c>
      <c r="C78" s="190" t="inlineStr">
        <is>
          <t>Review Id hasSkinTone Skin Tone</t>
        </is>
      </c>
      <c r="D78" s="195" t="inlineStr"/>
    </row>
    <row r="79" ht="15" customHeight="1" s="49">
      <c r="B79" s="194" t="inlineStr">
        <is>
          <t>object</t>
        </is>
      </c>
      <c r="C79" s="190" t="inlineStr">
        <is>
          <t>Review Id aboutProduct Product</t>
        </is>
      </c>
      <c r="D79" s="195" t="inlineStr"/>
    </row>
    <row r="80" ht="32" customHeight="1" s="49">
      <c r="B80" s="194" t="inlineStr">
        <is>
          <t>object</t>
        </is>
      </c>
      <c r="C80" s="190" t="inlineStr">
        <is>
          <t>Product hasCategory Category</t>
        </is>
      </c>
      <c r="D80" s="195" t="inlineStr">
        <is>
          <t>They admit this one was never implemented. They used rdf:type instead and found out too late.</t>
        </is>
      </c>
    </row>
    <row r="81" ht="15" customHeight="1" s="49">
      <c r="B81" s="194" t="inlineStr">
        <is>
          <t>object</t>
        </is>
      </c>
      <c r="C81" s="190" t="inlineStr">
        <is>
          <t>Product hasReviewId Review Id</t>
        </is>
      </c>
      <c r="D81" s="195" t="inlineStr"/>
    </row>
    <row r="82" ht="15" customHeight="1" s="49">
      <c r="B82" s="194" t="inlineStr">
        <is>
          <t>data</t>
        </is>
      </c>
      <c r="C82" s="190" t="inlineStr">
        <is>
          <t>Product hasRating</t>
        </is>
      </c>
      <c r="D82" s="195" t="inlineStr"/>
    </row>
    <row r="83" ht="19" customHeight="1" s="49">
      <c r="B83" s="194" t="inlineStr">
        <is>
          <t>data</t>
        </is>
      </c>
      <c r="C83" s="190" t="inlineStr">
        <is>
          <t>Product hasOilyScore</t>
        </is>
      </c>
      <c r="D83" s="195" t="inlineStr">
        <is>
          <t>and hasDryScore, hasNormalScore, hasCombinationScore</t>
        </is>
      </c>
    </row>
    <row r="84" ht="15" customHeight="1" s="49">
      <c r="B84" s="194" t="inlineStr">
        <is>
          <t>data</t>
        </is>
      </c>
      <c r="C84" s="190" t="inlineStr">
        <is>
          <t>Country hasSephoraWebPage</t>
        </is>
      </c>
      <c r="D84" s="195" t="inlineStr"/>
    </row>
    <row r="86" ht="24" customHeight="1" s="49">
      <c r="A86" s="160" t="inlineStr">
        <is>
          <t>6. What is wrong with it. Say these first.</t>
        </is>
      </c>
    </row>
    <row r="87" ht="32" customHeight="1" s="49">
      <c r="B87" s="184" t="inlineStr">
        <is>
          <t>They say it themselves</t>
        </is>
      </c>
      <c r="C87" s="183" t="inlineStr">
        <is>
          <t>'The team found out about the mistake too late to modify it in the OntoRefine.' Product hasCategory Category was never implemented.</t>
        </is>
      </c>
    </row>
    <row r="88" ht="32" customHeight="1" s="49">
      <c r="B88" s="184" t="inlineStr">
        <is>
          <t>They say it themselves</t>
        </is>
      </c>
      <c r="C88" s="183" t="inlineStr">
        <is>
          <t>'The team was under time-pressure hence the output shows a whole URI instead of only a product.' The interface prints raw IRIs.</t>
        </is>
      </c>
    </row>
    <row r="89" ht="19" customHeight="1" s="49">
      <c r="B89" s="184" t="inlineStr">
        <is>
          <t>No evaluation</t>
        </is>
      </c>
      <c r="C89" s="183" t="inlineStr">
        <is>
          <t>One worked example for one made-up user. No precision, no recall, no user study, no competency questions.</t>
        </is>
      </c>
    </row>
    <row r="90" ht="19" customHeight="1" s="49">
      <c r="B90" s="184" t="inlineStr">
        <is>
          <t>Nothing published</t>
        </is>
      </c>
      <c r="C90" s="183" t="inlineStr">
        <is>
          <t>No OWL file, no permanent address, no DOI. I cannot download it and neither can anyone else.</t>
        </is>
      </c>
    </row>
    <row r="91" ht="32" customHeight="1" s="49">
      <c r="B91" s="184" t="inlineStr">
        <is>
          <t>The deeper problem</t>
        </is>
      </c>
      <c r="C91" s="183" t="inlineStr">
        <is>
          <t>The recommendation comes from star ratings only. The system never looks at what is inside the product. Two products with a 5 are identical to it, even if one is full of fragrance allergens and the other is not.</t>
        </is>
      </c>
    </row>
    <row r="93" ht="24" customHeight="1" s="49">
      <c r="A93" s="160" t="inlineStr">
        <is>
          <t>7. Their third limitation</t>
        </is>
      </c>
    </row>
    <row r="94" ht="14" customHeight="1" s="49">
      <c r="B94" s="189" t="inlineStr">
        <is>
          <t>In their own words:
   "Lastly, class restrictions based on ingredients could be developed.
    This would ensure a more symbolic and chemical approach, compared to
    the statistical one that is currently employed."
That sentence is my thesis. They describe my contribution as their future work.
I can quote it directly in the gap paragraph of my related work chapter.</t>
        </is>
      </c>
    </row>
    <row r="95" ht="14" customHeight="1" s="49"/>
    <row r="96" ht="14" customHeight="1" s="49"/>
    <row r="97" ht="14" customHeight="1" s="49"/>
    <row r="98" ht="14" customHeight="1" s="49"/>
    <row r="99" ht="14" customHeight="1" s="49"/>
    <row r="100" ht="14" customHeight="1" s="49"/>
    <row r="101" ht="14" customHeight="1" s="49"/>
  </sheetData>
  <mergeCells count="52">
    <mergeCell ref="D69:E69"/>
    <mergeCell ref="D63:E63"/>
    <mergeCell ref="B36:E58"/>
    <mergeCell ref="A60:E60"/>
    <mergeCell ref="B30:E30"/>
    <mergeCell ref="D81:E81"/>
    <mergeCell ref="C9:E9"/>
    <mergeCell ref="B33:E33"/>
    <mergeCell ref="A1:E1"/>
    <mergeCell ref="D84:E84"/>
    <mergeCell ref="B94:E101"/>
    <mergeCell ref="C90:E90"/>
    <mergeCell ref="D80:E80"/>
    <mergeCell ref="C12:E12"/>
    <mergeCell ref="D65:E65"/>
    <mergeCell ref="B32:E32"/>
    <mergeCell ref="D77:E77"/>
    <mergeCell ref="C11:E11"/>
    <mergeCell ref="A16:E16"/>
    <mergeCell ref="D76:E76"/>
    <mergeCell ref="C8:E8"/>
    <mergeCell ref="D70:E70"/>
    <mergeCell ref="C7:E7"/>
    <mergeCell ref="D66:E66"/>
    <mergeCell ref="C91:E91"/>
    <mergeCell ref="B31:E31"/>
    <mergeCell ref="C13:E13"/>
    <mergeCell ref="A2:E2"/>
    <mergeCell ref="D72:E72"/>
    <mergeCell ref="D78:E78"/>
    <mergeCell ref="A86:E86"/>
    <mergeCell ref="C87:E87"/>
    <mergeCell ref="D62:E62"/>
    <mergeCell ref="D71:E71"/>
    <mergeCell ref="C6:E6"/>
    <mergeCell ref="D83:E83"/>
    <mergeCell ref="A29:E29"/>
    <mergeCell ref="A4:E4"/>
    <mergeCell ref="C14:E14"/>
    <mergeCell ref="A35:E35"/>
    <mergeCell ref="C5:E5"/>
    <mergeCell ref="D64:E64"/>
    <mergeCell ref="D68:E68"/>
    <mergeCell ref="D74:E74"/>
    <mergeCell ref="D82:E82"/>
    <mergeCell ref="D67:E67"/>
    <mergeCell ref="D73:E73"/>
    <mergeCell ref="C88:E88"/>
    <mergeCell ref="A93:E93"/>
    <mergeCell ref="D79:E79"/>
    <mergeCell ref="C89:E89"/>
    <mergeCell ref="C10:E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2026-09-07T21:21:39Z</dcterms:created>
  <dcterms:modified xmlns:dcterms="http://purl.org/dc/terms/" xmlns:xsi="http://www.w3.org/2001/XMLSchema-instance" xsi:type="dcterms:W3CDTF">2026-09-10T06:35:04Z</dcterms:modified>
  <cp:lastModifiedBy>Lynn Walid El Arwadi</cp:lastModifiedBy>
</cp:coreProperties>
</file>